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Z:\EDV Kunden\Hugo Spitz\"/>
    </mc:Choice>
  </mc:AlternateContent>
  <xr:revisionPtr revIDLastSave="0" documentId="13_ncr:1_{AD6C5585-AC25-47F5-905F-A47D8F2E9E2B}" xr6:coauthVersionLast="47" xr6:coauthVersionMax="47" xr10:uidLastSave="{00000000-0000-0000-0000-000000000000}"/>
  <bookViews>
    <workbookView xWindow="-120" yWindow="-120" windowWidth="29040" windowHeight="15720" tabRatio="908" xr2:uid="{00000000-000D-0000-FFFF-FFFF00000000}"/>
  </bookViews>
  <sheets>
    <sheet name="KontenplanVorl" sheetId="1" r:id="rId1"/>
    <sheet name="ArProtVorl" sheetId="114" r:id="rId2"/>
    <sheet name="ArProtSchreiben" sheetId="10" state="veryHidden" r:id=""/>
    <sheet name="Berichte" sheetId="16" state="veryHidden" r:id=""/>
    <sheet name="KntoVorlVorl" sheetId="134" r:id="rId3"/>
    <sheet name="PosAnkK" sheetId="131" r:id="rId4"/>
    <sheet name="SaLiVorlVorl" sheetId="126" r:id="rId5"/>
    <sheet name="SaLi2VorlVorl" sheetId="133" r:id="rId6"/>
    <sheet name="PosAnkS" sheetId="130" r:id="rId7"/>
    <sheet name="BeriVorlVorl" sheetId="132" r:id="rId8"/>
    <sheet name="PosAnkB" sheetId="129" r:id="rId9"/>
    <sheet name="FABestVorl" sheetId="94" r:id="rId10"/>
    <sheet name="PosAnkF" sheetId="128" r:id="rId11"/>
    <sheet name="Farbpalette" sheetId="127" r:id="rId12"/>
    <sheet name="ReadMe" sheetId="92" r:id="rId13"/>
    <sheet name="ShortCuts" sheetId="121" r:id="rId14"/>
    <sheet name="Kontoarten" sheetId="111" r:id="rId15"/>
    <sheet name="JahresWechsel" sheetId="112" r:id="rId16"/>
    <sheet name="KontPlanPflege" sheetId="21" state="veryHidden" r:id=""/>
  </sheets>
  <functionGroups builtInGroupCount="19"/>
  <definedNames>
    <definedName name="_xlnm.Print_Area" localSheetId="1">ArProtVorl!$A$1:$J$9</definedName>
    <definedName name="_xlnm.Print_Area" localSheetId="9">BeriVorlVorl!$B$1:$K$41</definedName>
    <definedName name="_xlnm.Print_Area" localSheetId="11">FABestVorl!$A$1:$C$42</definedName>
    <definedName name="_xlnm.Print_Area" localSheetId="13">Farbpalette!$A$1:$F$9</definedName>
    <definedName name="_xlnm.Print_Area" localSheetId="17">JahresWechsel!$A$1:$F$33</definedName>
    <definedName name="_xlnm.Print_Area" localSheetId="4">KntoVorlVorl!$A$1:$I$9</definedName>
    <definedName name="_xlnm.Print_Area" localSheetId="0">KontenplanVorl!$A$1:$O$33</definedName>
    <definedName name="_xlnm.Print_Area" localSheetId="16">Kontoarten!$A$13:$D$71</definedName>
    <definedName name="_xlnm.Print_Area" localSheetId="10">PosAnkB!$A$1:$H$51</definedName>
    <definedName name="_xlnm.Print_Area" localSheetId="12">PosAnkF!$A$1:$H$51</definedName>
    <definedName name="_xlnm.Print_Area" localSheetId="5">PosAnkK!$A$1:$P$51</definedName>
    <definedName name="_xlnm.Print_Area" localSheetId="8">PosAnkS!$A$1:$M$51</definedName>
    <definedName name="_xlnm.Print_Area" localSheetId="14">ReadMe!$A$1:$A$124</definedName>
    <definedName name="_xlnm.Print_Area" localSheetId="7">SaLi2VorlVorl!$B$1:$M$51</definedName>
    <definedName name="_xlnm.Print_Area" localSheetId="6">SaLiVorlVorl!$A$1:$N$50</definedName>
    <definedName name="_xlnm.Print_Area" localSheetId="15">ShortCuts!$A$1:$A$54</definedName>
    <definedName name="_xlnm.Print_Titles" localSheetId="1">ArProtVorl!$1:$2</definedName>
    <definedName name="_xlnm.Print_Titles" localSheetId="9">BeriVorlVorl!$1:$11</definedName>
    <definedName name="_xlnm.Print_Titles" localSheetId="13">Farbpalette!$1:$2</definedName>
    <definedName name="_xlnm.Print_Titles" localSheetId="4">KntoVorlVorl!$1:$2</definedName>
    <definedName name="_xlnm.Print_Titles" localSheetId="0">KontenplanVorl!$1:$2</definedName>
    <definedName name="_xlnm.Print_Titles" localSheetId="7">SaLi2VorlVorl!$1:$6</definedName>
    <definedName name="_xlnm.Print_Titles" localSheetId="6">SaLiVorlVorl!$1:$6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7" i="134" l="1"/>
  <c r="F7" i="134" s="1"/>
  <c r="F8" i="134" s="1"/>
  <c r="H7" i="134"/>
  <c r="G8" i="134"/>
  <c r="H8" i="134"/>
  <c r="M40" i="126" l="1"/>
  <c r="J40" i="126" s="1"/>
  <c r="G39" i="126"/>
  <c r="M39" i="126"/>
  <c r="M49" i="126"/>
  <c r="M48" i="126"/>
  <c r="M47" i="126"/>
  <c r="M45" i="126"/>
  <c r="L45" i="126"/>
  <c r="K45" i="126"/>
  <c r="J45" i="126"/>
  <c r="I45" i="126"/>
  <c r="H45" i="126"/>
  <c r="G45" i="126"/>
  <c r="F45" i="126"/>
  <c r="E45" i="126"/>
  <c r="M37" i="126"/>
  <c r="L37" i="126"/>
  <c r="K37" i="126"/>
  <c r="J37" i="126"/>
  <c r="I37" i="126"/>
  <c r="H37" i="126"/>
  <c r="G37" i="126"/>
  <c r="F37" i="126"/>
  <c r="E37" i="126"/>
  <c r="M32" i="126"/>
  <c r="K32" i="126"/>
  <c r="J32" i="126"/>
  <c r="I32" i="126"/>
  <c r="H32" i="126"/>
  <c r="G32" i="126"/>
  <c r="F32" i="126"/>
  <c r="E32" i="126"/>
  <c r="G9" i="133"/>
  <c r="J9" i="133"/>
  <c r="M48" i="133" s="1"/>
  <c r="M9" i="133"/>
  <c r="M49" i="133" s="1"/>
  <c r="J24" i="133"/>
  <c r="J19" i="133"/>
  <c r="M45" i="133"/>
  <c r="L45" i="133"/>
  <c r="K45" i="133"/>
  <c r="J45" i="133"/>
  <c r="I45" i="133"/>
  <c r="H45" i="133"/>
  <c r="G45" i="133"/>
  <c r="F45" i="133"/>
  <c r="E45" i="133"/>
  <c r="M40" i="133"/>
  <c r="J40" i="133" s="1"/>
  <c r="M39" i="133"/>
  <c r="G39" i="133"/>
  <c r="M37" i="133"/>
  <c r="L37" i="133"/>
  <c r="K37" i="133"/>
  <c r="J37" i="133"/>
  <c r="I37" i="133"/>
  <c r="H37" i="133"/>
  <c r="G37" i="133"/>
  <c r="F37" i="133"/>
  <c r="E37" i="133"/>
  <c r="M32" i="133"/>
  <c r="K32" i="133"/>
  <c r="J32" i="133"/>
  <c r="I32" i="133"/>
  <c r="H32" i="133"/>
  <c r="G32" i="133"/>
  <c r="F32" i="133"/>
  <c r="E32" i="133"/>
  <c r="M24" i="133"/>
  <c r="L24" i="133"/>
  <c r="K24" i="133"/>
  <c r="I24" i="133"/>
  <c r="H24" i="133"/>
  <c r="G24" i="133"/>
  <c r="F24" i="133"/>
  <c r="E24" i="133"/>
  <c r="M19" i="133"/>
  <c r="L19" i="133"/>
  <c r="K19" i="133"/>
  <c r="I19" i="133"/>
  <c r="H19" i="133"/>
  <c r="G19" i="133"/>
  <c r="F19" i="133"/>
  <c r="E19" i="133"/>
  <c r="M14" i="133"/>
  <c r="L14" i="133"/>
  <c r="K14" i="133"/>
  <c r="J14" i="133"/>
  <c r="I14" i="133"/>
  <c r="H14" i="133"/>
  <c r="G14" i="133"/>
  <c r="F14" i="133"/>
  <c r="E14" i="133"/>
  <c r="L9" i="133"/>
  <c r="K9" i="133"/>
  <c r="I9" i="133"/>
  <c r="H9" i="133"/>
  <c r="F9" i="133"/>
  <c r="E9" i="133"/>
  <c r="H14" i="132"/>
  <c r="H34" i="132" s="1"/>
  <c r="G18" i="132"/>
  <c r="G17" i="132"/>
  <c r="G19" i="132" s="1"/>
  <c r="C14" i="132"/>
  <c r="C34" i="132" s="1"/>
  <c r="H29" i="132"/>
  <c r="C29" i="132"/>
  <c r="H24" i="132"/>
  <c r="C24" i="132"/>
  <c r="H19" i="132"/>
  <c r="C19" i="132"/>
  <c r="G14" i="132"/>
  <c r="H9" i="132"/>
  <c r="G9" i="132"/>
  <c r="C9" i="132"/>
  <c r="E9" i="126"/>
  <c r="F9" i="126"/>
  <c r="G9" i="126"/>
  <c r="H9" i="126"/>
  <c r="I9" i="126"/>
  <c r="J9" i="126"/>
  <c r="K9" i="126"/>
  <c r="L9" i="126"/>
  <c r="M9" i="126"/>
  <c r="E14" i="126"/>
  <c r="F14" i="126"/>
  <c r="G14" i="126"/>
  <c r="H14" i="126"/>
  <c r="I14" i="126"/>
  <c r="J14" i="126"/>
  <c r="K14" i="126"/>
  <c r="L14" i="126"/>
  <c r="M14" i="126"/>
  <c r="E19" i="126"/>
  <c r="F19" i="126"/>
  <c r="G19" i="126"/>
  <c r="H19" i="126"/>
  <c r="I19" i="126"/>
  <c r="J19" i="126"/>
  <c r="G48" i="126" s="1"/>
  <c r="K19" i="126"/>
  <c r="L19" i="126"/>
  <c r="M19" i="126"/>
  <c r="E24" i="126"/>
  <c r="F24" i="126"/>
  <c r="G24" i="126"/>
  <c r="H24" i="126"/>
  <c r="I24" i="126"/>
  <c r="J24" i="126"/>
  <c r="G47" i="126" s="1"/>
  <c r="K24" i="126"/>
  <c r="L24" i="126"/>
  <c r="M24" i="126"/>
  <c r="G8" i="114"/>
  <c r="G49" i="126" l="1"/>
  <c r="J39" i="126"/>
  <c r="H35" i="132"/>
  <c r="G48" i="133"/>
  <c r="G47" i="133"/>
  <c r="G50" i="133" s="1"/>
  <c r="J26" i="133"/>
  <c r="M50" i="126"/>
  <c r="G26" i="133"/>
  <c r="J39" i="133"/>
  <c r="G50" i="126"/>
  <c r="J26" i="126"/>
  <c r="M27" i="126"/>
  <c r="J27" i="126" s="1"/>
  <c r="M26" i="126"/>
  <c r="G26" i="126"/>
  <c r="G35" i="132"/>
  <c r="G34" i="132"/>
  <c r="M26" i="133"/>
  <c r="M27" i="133"/>
  <c r="J27" i="133" s="1"/>
  <c r="M47" i="133"/>
  <c r="M50" i="133" s="1"/>
</calcChain>
</file>

<file path=xl/sharedStrings.xml><?xml version="1.0" encoding="utf-8"?>
<sst xmlns="http://schemas.openxmlformats.org/spreadsheetml/2006/main" count="941" uniqueCount="566">
  <si>
    <t>München, den</t>
  </si>
  <si>
    <t>Buchprüfer</t>
  </si>
  <si>
    <t xml:space="preserve">Girokonto </t>
  </si>
  <si>
    <t xml:space="preserve">Kasse </t>
  </si>
  <si>
    <t>****</t>
  </si>
  <si>
    <t>Dummy! Überschreiben!</t>
  </si>
  <si>
    <t>Betrag €</t>
  </si>
  <si>
    <t>Umsatz seit 1. Januar</t>
  </si>
  <si>
    <t>3.Dez</t>
  </si>
  <si>
    <t>E</t>
  </si>
  <si>
    <t>Konto</t>
  </si>
  <si>
    <t>Art</t>
  </si>
  <si>
    <t>Blattname</t>
  </si>
  <si>
    <t xml:space="preserve"> </t>
  </si>
  <si>
    <t>***</t>
  </si>
  <si>
    <t>ARBEITSPROTOKOLL</t>
  </si>
  <si>
    <t>Datum</t>
  </si>
  <si>
    <t>Beleg</t>
  </si>
  <si>
    <t>Sollkto</t>
  </si>
  <si>
    <t>Habnkto</t>
  </si>
  <si>
    <t>Text</t>
  </si>
  <si>
    <t>gebucht:</t>
  </si>
  <si>
    <t>Kontoart</t>
  </si>
  <si>
    <t>GegKto</t>
  </si>
  <si>
    <t>Saldo</t>
  </si>
  <si>
    <t>Betrag-Soll</t>
  </si>
  <si>
    <t>Betrag-Haben</t>
  </si>
  <si>
    <t>Kontostand</t>
  </si>
  <si>
    <t>Umsatz Periode</t>
  </si>
  <si>
    <t>bis</t>
  </si>
  <si>
    <t>Schatzmeister</t>
  </si>
  <si>
    <t>Summen- und Saldenliste</t>
  </si>
  <si>
    <t>Kontobez</t>
  </si>
  <si>
    <t>31.Jan</t>
  </si>
  <si>
    <t>TA</t>
  </si>
  <si>
    <t>TA-Nr</t>
  </si>
  <si>
    <t>1.Jan</t>
  </si>
  <si>
    <t>Datum T.M)</t>
  </si>
  <si>
    <t>Ablauf einer Buchung</t>
  </si>
  <si>
    <t>Anpassung an die Buchungsaufgabe</t>
  </si>
  <si>
    <t xml:space="preserve">konfiguriert wurde. </t>
  </si>
  <si>
    <t>Benutzeroberfläche</t>
  </si>
  <si>
    <t>An Wissen über die Bedienung von Excel ist nur erforderlich:</t>
  </si>
  <si>
    <t xml:space="preserve">   Woran erkennt man die aktive Zelle? (starke Umrandung, normale, d.h.nicht-inverse Darstellung) </t>
  </si>
  <si>
    <t>Kontoart 1: Bestandskonto</t>
  </si>
  <si>
    <t>Erstelldatum</t>
  </si>
  <si>
    <t>Betroffene Konten</t>
  </si>
  <si>
    <t>ist in allen Zellen außer den in Spalte H  folgenlos in dem Sinne, dass die in der Zelle erscheinende</t>
  </si>
  <si>
    <t>Information mit der Entfernen-Taste wieder gelöscht werden oder manuell überschrieben werden</t>
  </si>
  <si>
    <t>name</t>
  </si>
  <si>
    <t>Betrag Ziffern</t>
  </si>
  <si>
    <t>Betrag (Buchst)</t>
  </si>
  <si>
    <t>Tag d. letzten Zuw.</t>
  </si>
  <si>
    <t>Voraussetzung</t>
  </si>
  <si>
    <t>Druckbereich</t>
  </si>
  <si>
    <t>straße</t>
  </si>
  <si>
    <t>plz ort</t>
  </si>
  <si>
    <t xml:space="preserve">München, den </t>
  </si>
  <si>
    <t>Hinweis:</t>
  </si>
  <si>
    <t>Wer vorsätzlich oder grob fahrlässig eine unrichtige Zuwendungsbescheinigung erstellt oder wer veranlasst, dass Zuwendungen nicht</t>
  </si>
  <si>
    <t>Fiskus durch einen etwaigen Abzug der Zuwendungen bei Zuwendenden entgeht (§10b Abs.4 EStG, §9 Abs.3 KStG, §9 Nr.5 GeWStG.)</t>
  </si>
  <si>
    <t xml:space="preserve">zu den in der  Zuwendungsbestätigung angegebenen  steuerbegünstigten  Zwecken verwendet  werden, haftet für die Steuer, die dem    </t>
  </si>
  <si>
    <t xml:space="preserve">Bestätigung  </t>
  </si>
  <si>
    <t xml:space="preserve">über Zuwendungen im Sinne des §10b Einkommensteuergesetz </t>
  </si>
  <si>
    <t xml:space="preserve">                               </t>
  </si>
  <si>
    <t xml:space="preserve">an inländische juristische Personen </t>
  </si>
  <si>
    <t xml:space="preserve">des öffentlichen Rechts </t>
  </si>
  <si>
    <t>Name und Anschrift
des Zuwendenden</t>
  </si>
  <si>
    <t>Art der Zuwendung</t>
  </si>
  <si>
    <t>Betrag der Zuwendungen in Ziffern</t>
  </si>
  <si>
    <t>Euro-Betrag in Buchstaben</t>
  </si>
  <si>
    <t>Tag der letzten Zuwendung</t>
  </si>
  <si>
    <t>BuID</t>
  </si>
  <si>
    <t>Buch-ID</t>
  </si>
  <si>
    <t>Kontoart 2: Ausgabekonto</t>
  </si>
  <si>
    <t>Kontoart 3: Eingabekonto</t>
  </si>
  <si>
    <t>Kontoart 10: Mitgliedskonto</t>
  </si>
  <si>
    <t>Kontoart 11: Spenderkonto</t>
  </si>
  <si>
    <t>1.</t>
  </si>
  <si>
    <t>2.</t>
  </si>
  <si>
    <t>4.</t>
  </si>
  <si>
    <t>Strg + b:</t>
  </si>
  <si>
    <t>Strg + z:</t>
  </si>
  <si>
    <t>Strg + k:</t>
  </si>
  <si>
    <t>Bei gedrückter Taste "Strg" eine Buchstabentaste drücken</t>
  </si>
  <si>
    <t>Das ist ungefährlich, da vor dem Buchen der ArProt-Zeile jede Zelle der Zeile manuell</t>
  </si>
  <si>
    <t>gelöscht oder überschrieben werden kann, ohne eine Nebenwirkung zu verursachen.</t>
  </si>
  <si>
    <t>1</t>
  </si>
  <si>
    <t>2</t>
  </si>
  <si>
    <t>B</t>
  </si>
  <si>
    <t xml:space="preserve">München, den                                                                     </t>
  </si>
  <si>
    <t xml:space="preserve"> Schatzmeister</t>
  </si>
  <si>
    <t>Strg + f:</t>
  </si>
  <si>
    <t>Summe Bestand</t>
  </si>
  <si>
    <t>Bestand am</t>
  </si>
  <si>
    <t>für den Zeitraum</t>
  </si>
  <si>
    <t xml:space="preserve"> in der Periode</t>
  </si>
  <si>
    <t>seit Jahresbeginn:</t>
  </si>
  <si>
    <t>für die Periode:</t>
  </si>
  <si>
    <t>Periodenbeginn</t>
  </si>
  <si>
    <t>Ergebnis</t>
  </si>
  <si>
    <t>Berichte</t>
  </si>
  <si>
    <t>Bestand bei</t>
  </si>
  <si>
    <t>Änderung</t>
  </si>
  <si>
    <t>in der Periode</t>
  </si>
  <si>
    <t>Die ArProt-Zeile selbst wird nicht gelöscht, sondern durchgestrichen,</t>
  </si>
  <si>
    <t>Arbeitsprotokoll an der Stelle, an der eine Zelle markiert ist.  Die dort befindliche</t>
  </si>
  <si>
    <t>ArProt-Zeile wird mit allen etwa folgenden nach unten verschoben.</t>
  </si>
  <si>
    <t>Ermöglicht einfügen, löschen, ändern von Konten im Kontenplan.</t>
  </si>
  <si>
    <t xml:space="preserve">Tabelle der Shortcuts zum Auslösen der Bedienungsvorgänge                </t>
  </si>
  <si>
    <r>
      <t xml:space="preserve">"Shortcut" </t>
    </r>
    <r>
      <rPr>
        <sz val="11"/>
        <rFont val="Arial"/>
        <family val="2"/>
      </rPr>
      <t>wird in dem verwendeten Software-System eine Tastenkombination genannt,</t>
    </r>
  </si>
  <si>
    <t>die ein für den Benutzer unsichtbares Programm aktiviert, das eine Reihe von Bedienungs-</t>
  </si>
  <si>
    <t>Bei gedrückt gehaltener Taste "Strg" drückt er dann eine Buchstabentaste.</t>
  </si>
  <si>
    <r>
      <t>Der Benutzer hat ein Tabellen-</t>
    </r>
    <r>
      <rPr>
        <b/>
        <sz val="11"/>
        <rFont val="Arial"/>
        <family val="2"/>
      </rPr>
      <t>Blatt</t>
    </r>
    <r>
      <rPr>
        <sz val="11"/>
        <rFont val="Arial"/>
        <family val="2"/>
      </rPr>
      <t xml:space="preserve"> angewählt und auf dem Blatt eine Zelle markiert.(</t>
    </r>
    <r>
      <rPr>
        <b/>
        <sz val="11"/>
        <rFont val="Arial"/>
        <family val="2"/>
      </rPr>
      <t>MarZel</t>
    </r>
    <r>
      <rPr>
        <sz val="11"/>
        <rFont val="Arial"/>
        <family val="2"/>
      </rPr>
      <t>).</t>
    </r>
  </si>
  <si>
    <r>
      <t xml:space="preserve">Die möglichen Tastenkombinationen, das erforderliche </t>
    </r>
    <r>
      <rPr>
        <b/>
        <sz val="11"/>
        <rFont val="Arial"/>
        <family val="2"/>
      </rPr>
      <t>Blatt,</t>
    </r>
    <r>
      <rPr>
        <sz val="11"/>
        <rFont val="Arial"/>
        <family val="2"/>
      </rPr>
      <t xml:space="preserve"> der erlaubte Ort der MarZel </t>
    </r>
  </si>
  <si>
    <t>Buchung der ArProt-Zeile, d.h. schreiben in die Kontenblätter</t>
  </si>
  <si>
    <t>Jahreswechsel</t>
  </si>
  <si>
    <t xml:space="preserve">                   </t>
  </si>
  <si>
    <t xml:space="preserve">Es muss eine neue Anwender-Mappe für das Folgejahr erstellt werden.   </t>
  </si>
  <si>
    <t>Folgende Vorgehensweise ist zielführend:</t>
  </si>
  <si>
    <t>Die Anwender-Mappe ins Fenster bringen</t>
  </si>
  <si>
    <t xml:space="preserve">3. </t>
  </si>
  <si>
    <r>
      <t>Die Anwender-Mappe mit dem Pull-down-Menü "</t>
    </r>
    <r>
      <rPr>
        <b/>
        <sz val="11"/>
        <rFont val="Arial"/>
        <family val="2"/>
      </rPr>
      <t>Datei</t>
    </r>
    <r>
      <rPr>
        <sz val="11"/>
        <rFont val="Arial"/>
        <family val="2"/>
      </rPr>
      <t>" mittels "</t>
    </r>
    <r>
      <rPr>
        <b/>
        <sz val="11"/>
        <rFont val="Arial"/>
        <family val="2"/>
      </rPr>
      <t>Speichern unter..</t>
    </r>
    <r>
      <rPr>
        <sz val="11"/>
        <rFont val="Arial"/>
        <family val="2"/>
      </rPr>
      <t xml:space="preserve">" </t>
    </r>
  </si>
  <si>
    <t>geführt.  Damit ist erreicht, dass eine neue Mappe entstanden ist und die Vorjahres-</t>
  </si>
  <si>
    <t xml:space="preserve">kann eine Anwender-Mappe nicht über den 31. Dezember hinaus verwendet werden.  </t>
  </si>
  <si>
    <t xml:space="preserve">Erzeugt wird die neue Anwender-Mappe mit Hilfe des Dateiverwaltungsprogramms auf der </t>
  </si>
  <si>
    <t xml:space="preserve">Ebene des Betriebssystems des PC (z.B. Windows Explorer) als Kopie der Vorjahresmappe. </t>
  </si>
  <si>
    <t xml:space="preserve">Die Initialisierung der neuen Mappe (die notwendige Anpassung an den Jahresbeginn) </t>
  </si>
  <si>
    <t xml:space="preserve">Tabellenoperationen zusammen, die beim Buchen, der Eingabe einer Transaktion, erforderlich sind.  </t>
  </si>
  <si>
    <t xml:space="preserve">Er enthält alle  Angaben, die für die Anwendung erforderlich sind und durch die sie definiert ist.  </t>
  </si>
  <si>
    <t>(die anderen Blätter) der Anwendungsmappe anschauen, darf sie aber nicht verändern, wenn er</t>
  </si>
  <si>
    <t>die Datenkonsistenz nicht gefährden will.  Sie zeigen Konten, Saldenlisten, Berichte u.a.</t>
  </si>
  <si>
    <t>Erstellt wird ein Kontoblatt mittels der Angaben im Kontenplan erst bei der ersten Benutzung, ein.</t>
  </si>
  <si>
    <t>Berichts- oder Saldenblatt erst durch Anforderung eines Berichts.</t>
  </si>
  <si>
    <t>Außer durch explizites Schreiben der Daten in die Buchungszeile können Eingabehilfen durch</t>
  </si>
  <si>
    <t xml:space="preserve">Der Benutzer muss zuerst den Kontenplan erstellen in dem Format, das im Blatt Kontenplan </t>
  </si>
  <si>
    <t xml:space="preserve">Die Vorlagen SaldLiVorl, BerichtVorl und FABestVorl sind zu überprüfen, ob ihre Texte der </t>
  </si>
  <si>
    <t>Funktion</t>
  </si>
  <si>
    <t>H</t>
  </si>
  <si>
    <t>Buchen</t>
  </si>
  <si>
    <t xml:space="preserve">Die Zelle muss  " *** "  (Normalbuchung) oder  " **** "  (Korrekturbuchung)  oder  </t>
  </si>
  <si>
    <t>Zeile gebucht, sondern alle etwa darauffolgenden, die in der Spalte H  " ***** " enthalten.</t>
  </si>
  <si>
    <t>I</t>
  </si>
  <si>
    <t>A</t>
  </si>
  <si>
    <t>Löschen</t>
  </si>
  <si>
    <t>andere</t>
  </si>
  <si>
    <t>Vielfältige Eingabehilfe mit spaltenabhängiger Funktion</t>
  </si>
  <si>
    <t>als</t>
  </si>
  <si>
    <t>A,H,I</t>
  </si>
  <si>
    <t>D</t>
  </si>
  <si>
    <t>Copy</t>
  </si>
  <si>
    <t>D / E</t>
  </si>
  <si>
    <t>Zeigen</t>
  </si>
  <si>
    <t xml:space="preserve"> Von der markierten Zelle aus (die eine Kontonummer enthalten muß) </t>
  </si>
  <si>
    <t>wird das zur Kontonummer gehörende Kontoblatt gezeigt</t>
  </si>
  <si>
    <t>Numerierung der  TA-Spalte (Spalte A) mit aufsteigenden Nummern ab</t>
  </si>
  <si>
    <t>der markierten Zelle in Spalte A abwärts</t>
  </si>
  <si>
    <t xml:space="preserve"> Einfügen einer Spaltenüberschriftszeile in das</t>
  </si>
  <si>
    <t>Saldo-</t>
  </si>
  <si>
    <t>A - J</t>
  </si>
  <si>
    <t>J</t>
  </si>
  <si>
    <t>Finanzamt-</t>
  </si>
  <si>
    <r>
      <t>Tastenkombinationen</t>
    </r>
    <r>
      <rPr>
        <sz val="10"/>
        <rFont val="Arial Narrow"/>
        <family val="2"/>
      </rPr>
      <t xml:space="preserve"> (sogenannte "Shortcuts")  zum Auslösen der Vorgänge  </t>
    </r>
  </si>
  <si>
    <t xml:space="preserve">Schema: </t>
  </si>
  <si>
    <t xml:space="preserve">Eine Zelle (Spalte in einer Zeile) eines Arbeitsblatts (meistens ArProt) ist markiert (Aktive Zelle). </t>
  </si>
  <si>
    <t>von Blatt ArProt aus</t>
  </si>
  <si>
    <t>Tasten-</t>
  </si>
  <si>
    <t>Spalte d.</t>
  </si>
  <si>
    <t>Funktion .</t>
  </si>
  <si>
    <t>kombin.</t>
  </si>
  <si>
    <t>akt. Zelle</t>
  </si>
  <si>
    <r>
      <t xml:space="preserve">Wirkung von </t>
    </r>
    <r>
      <rPr>
        <b/>
        <sz val="10"/>
        <rFont val="Arial Narrow"/>
        <family val="2"/>
      </rPr>
      <t xml:space="preserve">Tastenkombination, </t>
    </r>
    <r>
      <rPr>
        <sz val="10"/>
        <rFont val="Arial Narrow"/>
        <family val="2"/>
      </rPr>
      <t xml:space="preserve"> wenn Zelle in </t>
    </r>
    <r>
      <rPr>
        <b/>
        <sz val="10"/>
        <rFont val="Arial Narrow"/>
        <family val="2"/>
      </rPr>
      <t>Spalte</t>
    </r>
    <r>
      <rPr>
        <sz val="10"/>
        <rFont val="Arial Narrow"/>
        <family val="2"/>
      </rPr>
      <t xml:space="preserve"> markiert ist:</t>
    </r>
  </si>
  <si>
    <t>" ***** " (Kopierbuchung) enthalten.  Wenn sie " ***** " enthält, wird nicht nur diese ArProt-</t>
  </si>
  <si>
    <t>erstellen</t>
  </si>
  <si>
    <t>verschied.</t>
  </si>
  <si>
    <t>Eingabe-</t>
  </si>
  <si>
    <t xml:space="preserve">ausprobieren!     Auch mehrmals tippen! </t>
  </si>
  <si>
    <t>Hilfen</t>
  </si>
  <si>
    <t>Kopieren eines Blocks von anderen ArProt-Zeilen.  D = Sollkonto-Spalte</t>
  </si>
  <si>
    <t>Strg + n:</t>
  </si>
  <si>
    <t>Numerie-</t>
  </si>
  <si>
    <t>rung</t>
  </si>
  <si>
    <t>Strg + m:</t>
  </si>
  <si>
    <t>Monats-</t>
  </si>
  <si>
    <t>wechsel</t>
  </si>
  <si>
    <t>Strg + j:</t>
  </si>
  <si>
    <t>Jahres-</t>
  </si>
  <si>
    <t xml:space="preserve">Initialisiert die aktive (im Fenster befindliche) Mappe für das Folgejahr des beendeten Jahres.  </t>
  </si>
  <si>
    <t>Zeile:letzter</t>
  </si>
  <si>
    <t>Diese aktive Mappe muss eine Kopie der Mappe des beendeten Jahres sein</t>
  </si>
  <si>
    <t>Eintrag</t>
  </si>
  <si>
    <t>Die markierte Zelle muss zum letzten ArProt-Eintrag des beendeten Jahres gehören</t>
  </si>
  <si>
    <t>von anderen Blättern aus</t>
  </si>
  <si>
    <r>
      <t xml:space="preserve">Nur von einer Zelle in der Spalte "Beschein" des </t>
    </r>
    <r>
      <rPr>
        <b/>
        <sz val="10"/>
        <rFont val="Arial Narrow"/>
        <family val="2"/>
      </rPr>
      <t>Kontenplan</t>
    </r>
    <r>
      <rPr>
        <sz val="10"/>
        <rFont val="Arial Narrow"/>
        <family val="2"/>
      </rPr>
      <t xml:space="preserve">s aus möglich. </t>
    </r>
  </si>
  <si>
    <t xml:space="preserve">Konten- </t>
  </si>
  <si>
    <r>
      <t xml:space="preserve">Nur von einer Zelle im </t>
    </r>
    <r>
      <rPr>
        <b/>
        <sz val="10"/>
        <rFont val="Arial Narrow"/>
        <family val="2"/>
      </rPr>
      <t>Kontenplan</t>
    </r>
    <r>
      <rPr>
        <sz val="10"/>
        <rFont val="Arial Narrow"/>
        <family val="2"/>
      </rPr>
      <t xml:space="preserve"> aus möglich.</t>
    </r>
  </si>
  <si>
    <t>pflege</t>
  </si>
  <si>
    <t>Bescheini-</t>
  </si>
  <si>
    <t>Vermögen</t>
  </si>
  <si>
    <t>Summe Vermögen</t>
  </si>
  <si>
    <t>Ausgaben</t>
  </si>
  <si>
    <t>Ausgaben2</t>
  </si>
  <si>
    <t>Summe Ausgaben2</t>
  </si>
  <si>
    <t>Summe Ausgaben</t>
  </si>
  <si>
    <r>
      <t xml:space="preserve">durch sogenannte </t>
    </r>
    <r>
      <rPr>
        <b/>
        <sz val="11"/>
        <rFont val="Arial"/>
        <family val="2"/>
      </rPr>
      <t>Makros</t>
    </r>
    <r>
      <rPr>
        <sz val="11"/>
        <rFont val="Arial"/>
        <family val="2"/>
      </rPr>
      <t xml:space="preserve"> ergänzt sind.  Ein Makro fasst eine (manchmal längere) Reihe von </t>
    </r>
  </si>
  <si>
    <t>Makros</t>
  </si>
  <si>
    <t>Mappen</t>
  </si>
  <si>
    <t xml:space="preserve">Buchung als Vorlagen dienen.  Beim Buchen müssen beide Mappen geöffnet sein, jedoch nur die </t>
  </si>
  <si>
    <t>Blätter (Tabellen)</t>
  </si>
  <si>
    <r>
      <t xml:space="preserve">Die Anwendungsmappe enthält als erste Tabelle (als erstes Blatt der Mappe) den </t>
    </r>
    <r>
      <rPr>
        <b/>
        <sz val="11"/>
        <rFont val="Arial"/>
        <family val="2"/>
      </rPr>
      <t>Kontenplan</t>
    </r>
    <r>
      <rPr>
        <sz val="11"/>
        <rFont val="Arial"/>
        <family val="2"/>
      </rPr>
      <t xml:space="preserve">. </t>
    </r>
  </si>
  <si>
    <t xml:space="preserve">(Anwender) die Bewegungen des Finanzkörpers einfach erfassen und übersichtlich darstellen. </t>
  </si>
  <si>
    <r>
      <t xml:space="preserve">Der Finanzkörper ist organisiert in eine Anzahl von </t>
    </r>
    <r>
      <rPr>
        <b/>
        <sz val="11"/>
        <rFont val="Arial"/>
        <family val="2"/>
      </rPr>
      <t>Konten</t>
    </r>
    <r>
      <rPr>
        <sz val="11"/>
        <rFont val="Arial"/>
        <family val="2"/>
      </rPr>
      <t xml:space="preserve">, die der Herkunft, der Verwendung oder </t>
    </r>
  </si>
  <si>
    <r>
      <rPr>
        <sz val="11"/>
        <rFont val="Arial"/>
        <family val="2"/>
      </rPr>
      <t xml:space="preserve">dem Verbleib von  Geldern zugeordnet sind.  Eine Bewegung im Finanzkörper, </t>
    </r>
    <r>
      <rPr>
        <b/>
        <sz val="11"/>
        <rFont val="Arial"/>
        <family val="2"/>
      </rPr>
      <t xml:space="preserve">Transaktion </t>
    </r>
    <r>
      <rPr>
        <sz val="11"/>
        <rFont val="Arial"/>
        <family val="2"/>
      </rPr>
      <t xml:space="preserve">genannt, </t>
    </r>
  </si>
  <si>
    <r>
      <t xml:space="preserve">Die zweite Tabelle (das zweite Blatt der Mappe) ist das </t>
    </r>
    <r>
      <rPr>
        <b/>
        <sz val="11"/>
        <rFont val="Arial"/>
        <family val="2"/>
      </rPr>
      <t>Arbeitsprotokoll</t>
    </r>
    <r>
      <rPr>
        <sz val="11"/>
        <rFont val="Arial"/>
        <family val="2"/>
      </rPr>
      <t xml:space="preserve">.  Dies ist das Blatt, in dem      </t>
    </r>
  </si>
  <si>
    <t>,</t>
  </si>
  <si>
    <t>C</t>
  </si>
  <si>
    <t>freigehalten für Sprungkennzeichen mehrstufiger  Dialoge</t>
  </si>
  <si>
    <t>die höchste TAN,  also die für die nächste Normalbuchung vorbereitete</t>
  </si>
  <si>
    <t>ArProt-Zeile , in der nach Normalbuchungsquittierung die vorbereitete TAN steht, ArProt-Ende</t>
  </si>
  <si>
    <t>Transaktionsdatum der jüngsten Buchung</t>
  </si>
  <si>
    <t xml:space="preserve">Buchjahr, 4 Ziffern &gt;2014  &lt;2099 </t>
  </si>
  <si>
    <t xml:space="preserve">Identifikationsnummer der letzten Buchung </t>
  </si>
  <si>
    <t xml:space="preserve">Funktion </t>
  </si>
  <si>
    <t>gung</t>
  </si>
  <si>
    <t>KtoNr-</t>
  </si>
  <si>
    <t xml:space="preserve">Von der markierten Zelle aus (die eine Kontonummer enthalten muß) </t>
  </si>
  <si>
    <t>Einnahmen</t>
  </si>
  <si>
    <t>Einnahmen2</t>
  </si>
  <si>
    <t>Bericht des Schatzmeisters</t>
  </si>
  <si>
    <t>%</t>
  </si>
  <si>
    <t>Summe Zugänge</t>
  </si>
  <si>
    <t>Summe Zugänge2</t>
  </si>
  <si>
    <r>
      <t xml:space="preserve">und generischen Blättern, die der anderen Mappe, der </t>
    </r>
    <r>
      <rPr>
        <b/>
        <sz val="11"/>
        <rFont val="Arial"/>
        <family val="2"/>
      </rPr>
      <t>Anwendungsmappe</t>
    </r>
    <r>
      <rPr>
        <sz val="11"/>
        <rFont val="Arial"/>
        <family val="2"/>
      </rPr>
      <t xml:space="preserve">, im Verlauf der </t>
    </r>
  </si>
  <si>
    <t xml:space="preserve">und die Wirkung des Tastendrucks sind in der Tabelle zusammengestellt. </t>
  </si>
  <si>
    <t>der Schatzmeister seine Buchungen einträgt.  In die anderen Blätter der Anwendungsmappe wird nur</t>
  </si>
  <si>
    <t>Anwendungsmappe im aktiven Fenster (im Vordergrund) stehen.  Zugriffe auf die Systemmappe</t>
  </si>
  <si>
    <t xml:space="preserve">   Dass jede Message Box quittiert werden muss, ehe fortgefahren werden kann.</t>
  </si>
  <si>
    <t xml:space="preserve">kann und erst durch Starten der Buchung seine Wirkung entfaltet. </t>
  </si>
  <si>
    <t>schritten, Berechnungen, Prüfungen oder Tabellenformatierungen ausführt.</t>
  </si>
  <si>
    <t xml:space="preserve">Bestandskonto, das ein Bankkonto oder eine Bargeldkasse spiegelt.   </t>
  </si>
  <si>
    <t>Am Jahresanfang weist es den Jahresendstand des Vorjahres aus.</t>
  </si>
  <si>
    <t xml:space="preserve">Ein innerhalb der Anwendung definiertes Konto, das Ausgaben aus einem Bestandskonto  während des  </t>
  </si>
  <si>
    <t>Buchungsjahres für einen bestimmten Zweck verzeichnet. Es hat den Jahresanfangsstand null.</t>
  </si>
  <si>
    <t>Im Arbeitsprotokoll tritt es überwiegend in der Sollspalte auf.</t>
  </si>
  <si>
    <t xml:space="preserve">Ein innerhalb der Anwendung definiertes Konto, das Eingaben in ein Bestandskonto  während des  </t>
  </si>
  <si>
    <t>Buchungsjahres aus einer bestimmten Quelle verzeichnet. Es hat den Jahresanfangsstand null.</t>
  </si>
  <si>
    <t>Im Arbeitsprotokoll tritt es überwiegend in der Habenspalte auf.</t>
  </si>
  <si>
    <t>Kontoart 4: Ausgabe2konto</t>
  </si>
  <si>
    <t>Kontoart 5: Eingabe2konto</t>
  </si>
  <si>
    <t xml:space="preserve">Ein innerhalb der Anwendung definiertes Konto wie Kontoart 2, das jedoch in einem getrennten  Bereich  </t>
  </si>
  <si>
    <t>von Bewegungen in verschiedenen Geschäftsbereichen verlangt. Konten der Art 4 werden in Berichten in</t>
  </si>
  <si>
    <t>einem eigenen Block aufgeführt.</t>
  </si>
  <si>
    <t xml:space="preserve">Ein innerhalb der Anwendung definiertes Konto wie Kontoart 3, das jedoch in einem getrennten  Bereich  </t>
  </si>
  <si>
    <t>Kontoart 6:Fondkonto</t>
  </si>
  <si>
    <t xml:space="preserve">Im Kontenplan erfordert es die Angabe des Bestandskontos, von dem es ein Teil ist.  Wenn dort keine </t>
  </si>
  <si>
    <t>Angabe vorhanden ist, wird sie im Buchungsdialog angefordert.</t>
  </si>
  <si>
    <t>Kontoart 7: Vermögenskonto</t>
  </si>
  <si>
    <t>Ein Bestandskonto, dem in der Regel kein Bankkonto zugeordnet ist, sondern einen Vermögenswert ,</t>
  </si>
  <si>
    <t xml:space="preserve">garkeine Bewegung auf. Es erscheint in Berichten deshalb nicht im gleichen Darstellungsblock wie </t>
  </si>
  <si>
    <t>die Bestandskonten, wird aber im übrigen wie ein solches saldiert.</t>
  </si>
  <si>
    <t>Kontoarten</t>
  </si>
  <si>
    <t>Kontoart 8: nicht belegt</t>
  </si>
  <si>
    <t>Kontoart 9: nicht belegt</t>
  </si>
  <si>
    <t xml:space="preserve">hat also nur Inormations-Funktion. Diese Kontoart ist erforderlich bei Transaktionen zwischen Bestandskonten. </t>
  </si>
  <si>
    <t>geschehen unbemerkt für den Anwender.  Er hat auch während der Buchung keinen Anlass,  auf</t>
  </si>
  <si>
    <t>der Anwender bestimmt.</t>
  </si>
  <si>
    <t xml:space="preserve">Löschen (rückgängig machen)  der ArProt-Zeilen-Buchung in den Kontenblättern.  </t>
  </si>
  <si>
    <t>Die ArProt-Zeile selbst wird nicht gelöscht, sondern durchgestrichen, sodass sie noch</t>
  </si>
  <si>
    <t xml:space="preserve">lesbar ist und ihre Information für korrigierte Buchungen weiter verwendet werden kann. </t>
  </si>
  <si>
    <t>Initialisiert die aktive (im Fenster befindliche) Mappe für das Folgejahr des beendeten Jahres.</t>
  </si>
  <si>
    <r>
      <t xml:space="preserve">   Wie benutzt man die Bearbeitungszeile ( </t>
    </r>
    <r>
      <rPr>
        <sz val="11"/>
        <rFont val="Segoe Script"/>
        <family val="4"/>
      </rPr>
      <t>fx</t>
    </r>
    <r>
      <rPr>
        <sz val="11"/>
        <rFont val="Abadi MT Condensed Light"/>
        <family val="2"/>
      </rPr>
      <t>-Zeile im Symbolleistenbereich des Bildschirms) zum</t>
    </r>
  </si>
  <si>
    <t xml:space="preserve">   und</t>
  </si>
  <si>
    <t xml:space="preserve">Aufgabe entsprechend richtig formuliert sind.  Die Texte können nach Bedarf abgeändert </t>
  </si>
  <si>
    <r>
      <t xml:space="preserve">Drücken der Taste </t>
    </r>
    <r>
      <rPr>
        <b/>
        <sz val="11"/>
        <rFont val="Arial"/>
        <family val="2"/>
      </rPr>
      <t>b</t>
    </r>
    <r>
      <rPr>
        <sz val="11"/>
        <rFont val="Arial"/>
        <family val="2"/>
      </rPr>
      <t xml:space="preserve">  bei gedrückter Taste </t>
    </r>
    <r>
      <rPr>
        <b/>
        <sz val="11"/>
        <rFont val="Arial"/>
        <family val="2"/>
      </rPr>
      <t>Strg</t>
    </r>
    <r>
      <rPr>
        <sz val="11"/>
        <rFont val="Arial"/>
        <family val="2"/>
      </rPr>
      <t xml:space="preserve"> veranlasst werden, die das Buchen beschleunigen.</t>
    </r>
  </si>
  <si>
    <t xml:space="preserve">vorgegeben ist, oder ihn beim Jahreswechsel von der Vorjahresbuchung  übernehmen.  </t>
  </si>
  <si>
    <t xml:space="preserve">Der Kontenplan enthält alle für das Buchungsprojekt (Applikation) spezifischen Informationen  </t>
  </si>
  <si>
    <t>und konfiguriert die Anwendermappe (paßt sie an die vorliegende Buchungsaufgabe an).</t>
  </si>
  <si>
    <r>
      <rPr>
        <sz val="11"/>
        <rFont val="Arial"/>
        <family val="2"/>
      </rPr>
      <t>Aber auch</t>
    </r>
    <r>
      <rPr>
        <b/>
        <sz val="11"/>
        <rFont val="Arial"/>
        <family val="2"/>
      </rPr>
      <t xml:space="preserve"> </t>
    </r>
    <r>
      <rPr>
        <sz val="11"/>
        <rFont val="Arial"/>
        <family val="2"/>
      </rPr>
      <t>vorher, d.h. während des  Ausfüllens der Buchungszeile, bieten die mit der TK</t>
    </r>
    <r>
      <rPr>
        <b/>
        <sz val="11"/>
        <rFont val="Arial"/>
        <family val="2"/>
      </rPr>
      <t xml:space="preserve">  Strg+b</t>
    </r>
  </si>
  <si>
    <r>
      <t xml:space="preserve">angesteuerten Funktionen vielfache Erleichterung. Die Wirkung der TK  </t>
    </r>
    <r>
      <rPr>
        <b/>
        <sz val="11"/>
        <rFont val="Abadi MT Condensed Light"/>
      </rPr>
      <t>Strg+b</t>
    </r>
    <r>
      <rPr>
        <sz val="11"/>
        <rFont val="Abadi MT Condensed Light"/>
        <family val="2"/>
      </rPr>
      <t xml:space="preserve">  ist kontextsensitiv,</t>
    </r>
  </si>
  <si>
    <t xml:space="preserve">hängt also von der Spalte der aktiven Zelle ab. Welche Wirkung zu erwarten ist, kann mittels der </t>
  </si>
  <si>
    <r>
      <t xml:space="preserve">TK </t>
    </r>
    <r>
      <rPr>
        <b/>
        <sz val="11"/>
        <rFont val="Abadi MT Condensed Light"/>
      </rPr>
      <t>Strg+h</t>
    </r>
    <r>
      <rPr>
        <sz val="11"/>
        <rFont val="Abadi MT Condensed Light"/>
        <family val="2"/>
      </rPr>
      <t xml:space="preserve"> oder einfach durch ausprobieren ermittelt werden. Das Ausprobieren</t>
    </r>
  </si>
  <si>
    <t>bescheinigg</t>
  </si>
  <si>
    <t>Erstellt eine Steuerbescheinigung für die Beiträge in den Personenkonten</t>
  </si>
  <si>
    <t>Ktonr.</t>
  </si>
  <si>
    <t>Zelle mit</t>
  </si>
  <si>
    <t>Strg + b</t>
  </si>
  <si>
    <t>Strg + c</t>
  </si>
  <si>
    <t>Strg + z</t>
  </si>
  <si>
    <t>Strg + n</t>
  </si>
  <si>
    <t>Strg + m</t>
  </si>
  <si>
    <t>Strg + j</t>
  </si>
  <si>
    <t>Strg + f</t>
  </si>
  <si>
    <t>Strg + k</t>
  </si>
  <si>
    <t>Blättert das zur Kontonummer gehörende Blatt auf</t>
  </si>
  <si>
    <t>(siehe auch Blatt "ShortCuts")</t>
  </si>
  <si>
    <t xml:space="preserve">die Tabellen der Systemmappe zuzugreifen.  Die Anwendungsmappe erhält einen Namen, den  </t>
  </si>
  <si>
    <t xml:space="preserve">Dialog die zusätzlich benötigte Information, wenn sie nicht schon im Kontenplan in der Spalte </t>
  </si>
  <si>
    <t xml:space="preserve">Vorgang besteht im Ausfüllen der anstehenden Zeile (der letzten Zeile des Protokolls), und Auslösung   </t>
  </si>
  <si>
    <t xml:space="preserve">Transaktionsdatum,  Belegkennzeichen, Sollkonto, Habenkonto, eine textliche Beschreibung </t>
  </si>
  <si>
    <t>Buchungskennzeichen  *** (in manchen Fällen  ****  oder  *****) in Spalte "gebucht", Spalte H,</t>
  </si>
  <si>
    <t xml:space="preserve"> SamlKto (Spalte E) gegeben ist.   </t>
  </si>
  <si>
    <t>Datenkonsistenz dienen, oder als Querverweise dem Buchprüfer die Arbeit erleichtern.</t>
  </si>
  <si>
    <t xml:space="preserve">Für Buchungen, an denen mehr als zwei Konten beteiligt sind (Buchungen </t>
  </si>
  <si>
    <t>Reihenfolge des genannten Transaktionsdatums (also chronologisch) von dem genannten Haben-</t>
  </si>
  <si>
    <t xml:space="preserve">Konto in das genannte Soll-Konto und fügt noch einige Daten hinzu,  die der internen Sicherung der </t>
  </si>
  <si>
    <t>In diese anstehende Arbeitsprotokoll-Zeile schreibt der Benutzer rechts von der  fortlaufenden,</t>
  </si>
  <si>
    <t xml:space="preserve">          Erstellen/Verändern von Texten? (Mausklicks/Pfeiltasten und Tabulator-/Return-Tasten)</t>
  </si>
  <si>
    <t xml:space="preserve">verschieden behandelt werden (siehe Blatt Kontoarten)..   </t>
  </si>
  <si>
    <t xml:space="preserve">Aus den durch die Buchungen erzeugten Kontoblättern können auf Anforderung folgende Berichte </t>
  </si>
  <si>
    <t xml:space="preserve">erstellt werden:  </t>
  </si>
  <si>
    <t>Kontenstandstabelle</t>
  </si>
  <si>
    <t>Eine Auflistung der Monatsendstände aller Sachkonten von Jahresbeginn bis zum aktuellen</t>
  </si>
  <si>
    <t>Buchungsstand</t>
  </si>
  <si>
    <t xml:space="preserve">Auflistung der Anfangs- und Endstände der Sachkonten und ihre Änderung für eine wählbare, </t>
  </si>
  <si>
    <t xml:space="preserve">Darstellung des Bestands, der Abgänge und Zugänge nach Kontoarten getrennt in komprimierter  </t>
  </si>
  <si>
    <t>Form für Sachkonten einer wählbaren, nach Monatsschnitten strukturierten Periode.</t>
  </si>
  <si>
    <t xml:space="preserve">nach Monatsschnitten strukturierte Periode; mit Kontrollrechnung </t>
  </si>
  <si>
    <t>Finanzamt-Bescheinigungen</t>
  </si>
  <si>
    <t>für das Kalenderjahr differenziert nach Mitgliederbeiträgen und Spenden</t>
  </si>
  <si>
    <t xml:space="preserve"> Für Anwendungen mit Personenkonten:  Personenbezogene formgerechte Beitragsbescheinigungen </t>
  </si>
  <si>
    <t>siehe Blatt "ShortCuts".</t>
  </si>
  <si>
    <r>
      <t>Betrages von einem für die Anwendung definierten Herkunftskonto (</t>
    </r>
    <r>
      <rPr>
        <b/>
        <sz val="11"/>
        <rFont val="Arial"/>
        <family val="2"/>
      </rPr>
      <t>Haben</t>
    </r>
    <r>
      <rPr>
        <sz val="11"/>
        <rFont val="Arial"/>
        <family val="2"/>
      </rPr>
      <t xml:space="preserve">konto) in ein </t>
    </r>
  </si>
  <si>
    <t>von Bewegungen in verschiedenen Geschäftsbereichen verlangt. Konten der Art 5 werden in Berichten in</t>
  </si>
  <si>
    <t>einem der Kontoart 5 zugehörigen  Block aufgeführt.</t>
  </si>
  <si>
    <t>Ein nichtreales Ein- oder Ausgabekonto  mit der Eigenschaft, dass es nur Teilbeträge aus einem Bestands-</t>
  </si>
  <si>
    <t>konto aufführt.  Es erscheint in Berichten in einem eigenen Block und hat keinen Einfluss auf das Ergebnis,</t>
  </si>
  <si>
    <t>wie z.B. eine Immobilie beschreibt. Typischerweise weist es während des Buchugsjahres wenig oder</t>
  </si>
  <si>
    <t xml:space="preserve">saldiert.  Konten dieser Art werden in Fällen erforderlich, in denen das Finanzamt getrennte Ausweisung </t>
  </si>
  <si>
    <t xml:space="preserve">Ein Eingabekonto wie Kontoart 3, auf das bei der Erstellung der steuerlich verwendbaren Beitragsbe- </t>
  </si>
  <si>
    <t xml:space="preserve">scheinigungen zugegriffen werden kann. Im Kontenplan sind dafür Informationen in den Spalten "Straße"    </t>
  </si>
  <si>
    <t xml:space="preserve">und "Ort" erforderlich.  Das Mitgliedskonto erscheint aber nicht explizit in den Berichten, sondern Im </t>
  </si>
  <si>
    <t>zugeordneten  Sammelkonto, das ebenfalls im Kontenplan angegeben sein muss. Dieses ist buchungs-</t>
  </si>
  <si>
    <t>technisch ein normales Eingabekonto.</t>
  </si>
  <si>
    <t xml:space="preserve">Ein Eingabekonto wie Kontoart 10, auf das bei der Erstellung der Spendenbescheinigungen zugegriffen </t>
  </si>
  <si>
    <t xml:space="preserve">werden kann. Im Kontenplan sind dafür Informationen in den Spalten "Straße" und "Ort" erforderlich.  Es </t>
  </si>
  <si>
    <t xml:space="preserve">unterscheidet sich von Kontoart 10 nur durch die Möglichkeit,  beim Ausdruck der Bestätigungen für das </t>
  </si>
  <si>
    <t>Finanzamt in  einigen Details textlich abzuweichen.</t>
  </si>
  <si>
    <r>
      <t>ebensolches Zielkonto (</t>
    </r>
    <r>
      <rPr>
        <b/>
        <sz val="11"/>
        <rFont val="Arial"/>
        <family val="2"/>
      </rPr>
      <t>Soll</t>
    </r>
    <r>
      <rPr>
        <sz val="11"/>
        <rFont val="Arial"/>
        <family val="2"/>
      </rPr>
      <t>konto).  Die Buchungen beschränken sich auf ein Kalenderjahr und sind</t>
    </r>
  </si>
  <si>
    <t>innerhalb des Jahres nach Monaten gegliedert.</t>
  </si>
  <si>
    <t>Kurz-Bericht</t>
  </si>
  <si>
    <t>Zeitraum</t>
  </si>
  <si>
    <t>Bezeichnung</t>
  </si>
  <si>
    <t xml:space="preserve">Bestand </t>
  </si>
  <si>
    <t>Soll</t>
  </si>
  <si>
    <t>Haben</t>
  </si>
  <si>
    <t xml:space="preserve">Haben </t>
  </si>
  <si>
    <t xml:space="preserve">Aus dem BestandBestand </t>
  </si>
  <si>
    <t>Summe Einnahmen</t>
  </si>
  <si>
    <t>Summe Zweckgebunden</t>
  </si>
  <si>
    <t>Ergebnis Periode</t>
  </si>
  <si>
    <t>Ergebnis seit Jahresbeginn</t>
  </si>
  <si>
    <t>Bestand</t>
  </si>
  <si>
    <t>Überschuss</t>
  </si>
  <si>
    <t>Summe Einnahmen2</t>
  </si>
  <si>
    <t>Kontrollrechnung</t>
  </si>
  <si>
    <t>Summe</t>
  </si>
  <si>
    <t>Periodenende</t>
  </si>
  <si>
    <t>Bestand  Periodenbeginn</t>
  </si>
  <si>
    <t>Bestand am  1. Januar</t>
  </si>
  <si>
    <t>Ergebnis2 Periode</t>
  </si>
  <si>
    <t>Ergebnis2 seit Jahresbeginn</t>
  </si>
  <si>
    <t>Bestand Periodenbeginn</t>
  </si>
  <si>
    <t>minus Bestand Periodenende</t>
  </si>
  <si>
    <t>KONTENPLAN</t>
  </si>
  <si>
    <t>Berichtzeilentext</t>
  </si>
  <si>
    <t>Beschreibung</t>
  </si>
  <si>
    <t>Samlkto</t>
  </si>
  <si>
    <t>Blattüberschrift links</t>
  </si>
  <si>
    <t>Bank1</t>
  </si>
  <si>
    <t>Bank2</t>
  </si>
  <si>
    <t>Kasse</t>
  </si>
  <si>
    <t>BK1</t>
  </si>
  <si>
    <t>Blattübers rechts</t>
  </si>
  <si>
    <t>Steuer</t>
  </si>
  <si>
    <t>Vericherung</t>
  </si>
  <si>
    <t>Aus Bestand</t>
  </si>
  <si>
    <t>Mitglieder</t>
  </si>
  <si>
    <t>Spender</t>
  </si>
  <si>
    <t>name3</t>
  </si>
  <si>
    <t>name4</t>
  </si>
  <si>
    <t>name1</t>
  </si>
  <si>
    <t>name2</t>
  </si>
  <si>
    <t>ausgabe a</t>
  </si>
  <si>
    <t>ausgabe b</t>
  </si>
  <si>
    <t>einnahme c</t>
  </si>
  <si>
    <t>einnahme d</t>
  </si>
  <si>
    <t>ausgabe e</t>
  </si>
  <si>
    <t>ausgabe f</t>
  </si>
  <si>
    <t>einnahme g</t>
  </si>
  <si>
    <t>einnahme h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</si>
  <si>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</si>
  <si>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</si>
  <si>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</si>
  <si>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</si>
  <si>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</si>
  <si>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</si>
  <si>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</si>
  <si>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</si>
  <si>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</si>
  <si>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</si>
  <si>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</si>
  <si>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</si>
  <si>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</si>
  <si>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</si>
  <si>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</si>
  <si>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</si>
  <si>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300</t>
  </si>
  <si>
    <t>301</t>
  </si>
  <si>
    <t>G</t>
  </si>
  <si>
    <t>F1</t>
  </si>
  <si>
    <t>Änderung bis Periodenende</t>
  </si>
  <si>
    <t>von Kontenplan aus</t>
  </si>
  <si>
    <t>Zelle</t>
  </si>
  <si>
    <t>D1</t>
  </si>
  <si>
    <t>Farbe</t>
  </si>
  <si>
    <t>Ermöglicht einfügen, löschen, ändern, verschiebe, leeren von Konten im Kontenplan.</t>
  </si>
  <si>
    <t>mit Überprüfung der Zulässigkeit</t>
  </si>
  <si>
    <r>
      <t xml:space="preserve">Nur von einer Zelle in der Spalte J des </t>
    </r>
    <r>
      <rPr>
        <b/>
        <sz val="10"/>
        <rFont val="Arial Narrow"/>
        <family val="2"/>
      </rPr>
      <t>Kontenplan-</t>
    </r>
    <r>
      <rPr>
        <sz val="10"/>
        <rFont val="Arial Narrow"/>
        <family val="2"/>
      </rPr>
      <t xml:space="preserve">Bereichs "Mitglieder" oder "Spender" </t>
    </r>
  </si>
  <si>
    <t>aus möglich. Erstellt eine Steuerbescheinigung für die Beiträge</t>
  </si>
  <si>
    <t>oder Spenden der in der Kontenplanzeile aufgeführten Person(en)</t>
  </si>
  <si>
    <t>von verschiedenen Blättern aus</t>
  </si>
  <si>
    <t>Inhalte der durch Buchungen veränderten Zellen der ArProt-Kopfzeile 1,  Spalte:</t>
  </si>
  <si>
    <t>Zellen mit besonderen Funktionen der Kontenplan-Kopfzeile 1,  Spalte:</t>
  </si>
  <si>
    <t>Version, Wird durch Kontenplanpflege (Strg+k) inkrementiert</t>
  </si>
  <si>
    <t>Länge des KP;  ZeilenNr. nach der letzten Kontozeile</t>
  </si>
  <si>
    <t>F</t>
  </si>
  <si>
    <t xml:space="preserve">Text für Blatt-Kopfzeile links </t>
  </si>
  <si>
    <t>Text für Blatt-Kopfzeile rechts</t>
  </si>
  <si>
    <t>K</t>
  </si>
  <si>
    <t>Die verborgenen Zeilen 3 und 4 dienen als Zwischenspeicher</t>
  </si>
  <si>
    <t>Berichtzeile</t>
  </si>
  <si>
    <t>bei mehrstufigen Kontenpflegemaßnahmen</t>
  </si>
  <si>
    <t>Berichtszeilen-</t>
  </si>
  <si>
    <t>summen</t>
  </si>
  <si>
    <t>Schalttag des Buchungsjahres,  0 oder 1</t>
  </si>
  <si>
    <t>Farbpalette für Tabellenkopfzeilen</t>
  </si>
  <si>
    <t>Farbkenn-Nr.</t>
  </si>
  <si>
    <t>3</t>
  </si>
  <si>
    <t>4</t>
  </si>
  <si>
    <t>L</t>
  </si>
  <si>
    <t>Aufbewahrung letzte Altjahres-TAN bei Jahreswechsel-Initialisierung</t>
  </si>
  <si>
    <t>Aufbewahrung Altjahres-Buchungsstand bei Jahreswechsel-Initialisierung</t>
  </si>
  <si>
    <t>KtoNr</t>
  </si>
  <si>
    <t>Die verborgene Zelle (3,5) ist vor dem ersten Jahreswechsel-Durchlauf leer,</t>
  </si>
  <si>
    <t>erhält vor dem Übergang zum neuen Buchjahr das alte Buchjahr und wird</t>
  </si>
  <si>
    <t>beim regulären verlassen des Jahreswechsels wieder geleert</t>
  </si>
  <si>
    <t>Schalttag  (0 oder 1) des Buchjahres</t>
  </si>
  <si>
    <t>Minus Ausgaben</t>
  </si>
  <si>
    <t>minus Saldo Änderung</t>
  </si>
  <si>
    <t>Grau</t>
  </si>
  <si>
    <t>Braun</t>
  </si>
  <si>
    <t>Blau</t>
  </si>
  <si>
    <t>Rot</t>
  </si>
  <si>
    <t>Orange</t>
  </si>
  <si>
    <t>Rosa</t>
  </si>
  <si>
    <t>Gelb</t>
  </si>
  <si>
    <t>Grün</t>
  </si>
  <si>
    <t>Titel KONTENPLAN. Auf diese Zelle wird Bezug genommen</t>
  </si>
  <si>
    <t>Farbkennzeichen für Tabellenkopfeinfärbung,  F1 … F8</t>
  </si>
  <si>
    <t>Strg + d:</t>
  </si>
  <si>
    <t>beliebige</t>
  </si>
  <si>
    <t>Aktives Blatt</t>
  </si>
  <si>
    <t>drucken</t>
  </si>
  <si>
    <t>Für das aktive Blatt wird  eine Seite eingerichtet und  gedruckt.  Die gleichen Funktionen wie von</t>
  </si>
  <si>
    <t xml:space="preserve">ExCel  angeboten, mit durchgeführter Projekt- und Seitentyp-spezificher Seiteneinrichtung </t>
  </si>
  <si>
    <t xml:space="preserve">Alle das Buchungprojekt bestimmenden Informationen werden in der Tabelle </t>
  </si>
  <si>
    <t>"Kontenplan" vermerkt.</t>
  </si>
  <si>
    <t>Bedieneroberfläche</t>
  </si>
  <si>
    <t xml:space="preserve">Erzeugen von bis zu drei Tabellen mit dem aktuellen Endstand der im Kontenplan aktuell </t>
  </si>
  <si>
    <t xml:space="preserve">aufgeführten Bestands- und Erfolgskonten: (1)Kontenstandstabelle, (2)Saldenliste,  (3)Bericht. </t>
  </si>
  <si>
    <t xml:space="preserve"> Etwa vorhandene ältere Tabellen gleichen Namens werden überschrieben.  </t>
  </si>
  <si>
    <t>die linke und rechte Überschrift (Projektbeschreibung) von auszudruckenden Blättern,</t>
  </si>
  <si>
    <t xml:space="preserve">Positionsanker </t>
  </si>
  <si>
    <t>Finanzamtbestätigungen</t>
  </si>
  <si>
    <t>Saldenlisten</t>
  </si>
  <si>
    <t>Konten</t>
  </si>
  <si>
    <t xml:space="preserve">Das Blatt  "Kontenplan"  der  neuen Mappe ins Fenster bringen, eine beliebige Zelle </t>
  </si>
  <si>
    <r>
      <t xml:space="preserve">markieren und </t>
    </r>
    <r>
      <rPr>
        <b/>
        <sz val="11"/>
        <rFont val="Arial"/>
        <family val="2"/>
      </rPr>
      <t>Strg+j</t>
    </r>
    <r>
      <rPr>
        <sz val="11"/>
        <rFont val="Arial"/>
        <family val="2"/>
      </rPr>
      <t xml:space="preserve"> tippen.  Die Initialisierung startet und wird  weitgehend </t>
    </r>
  </si>
  <si>
    <t xml:space="preserve">worauf zu achten ist, und Gelegenheit wird geboten,  festzulegen: </t>
  </si>
  <si>
    <t xml:space="preserve">die Erkennungsfarbe, die in den Titelleisten und einigen Spalten verwendet wird,   </t>
  </si>
  <si>
    <t xml:space="preserve">und das Buchjahr. </t>
  </si>
  <si>
    <t xml:space="preserve">automatisch abgewickelt.  Informationsfenster (Message Boxes) geben Auskunft,  </t>
  </si>
  <si>
    <t>Meldestufe,  Ziffer &gt;=1   &lt;=5  (nicht durchgängig verwendet)</t>
  </si>
  <si>
    <t xml:space="preserve">Kontenstandstabelle (Monatsstände der Konten vom 1. Januar bis zur jüngsten Buchung) </t>
  </si>
  <si>
    <t xml:space="preserve">Erzeugen von optional 3 Arten von Berichten: , und Periodenbericht. </t>
  </si>
  <si>
    <t>Bei gedrückter Taste "Strg" eine Buchstabentaste tippen (Tastenombination)</t>
  </si>
  <si>
    <t xml:space="preserve">Summen- und Saldenliste (Zu-, Abgänge und Salden der Konten in einer Periode von Monaten) </t>
  </si>
  <si>
    <t xml:space="preserve">Ersgebnisbericht (Einnahmen, Ausgaben von Kontengruppen und Gesamtergebnis einer Periode </t>
  </si>
  <si>
    <t xml:space="preserve">Rückgängig machen der ArProt-Zeilen-Buchung in den Kontenblättern.  </t>
  </si>
  <si>
    <t>sodass sie ggf. nach Korrektur wieder verwendet werden kann.</t>
  </si>
  <si>
    <t>Kopieren</t>
  </si>
  <si>
    <t xml:space="preserve">Wenn in der Zelle die Nr. eines Eingabekontos (Kontoart 3 oder 5) steht, werden die Spalten </t>
  </si>
  <si>
    <t>E und F der vorausgehenden Buchungszeile mit der gleichen Nr. in der gleichen Spalte in</t>
  </si>
  <si>
    <t>die Spalten E und F der aktuellen Buchungszeile kopiert</t>
  </si>
  <si>
    <t xml:space="preserve">E </t>
  </si>
  <si>
    <t xml:space="preserve">Wenn in der Zelle die Nr. eines Ausgabekontos (Kontoart 2 oder 4) steht, werden die Spalten </t>
  </si>
  <si>
    <t>D und F der vorausgehenden Buchungszeile mit der gleichen Nr. in der gleichen Spalte in</t>
  </si>
  <si>
    <t>Finden</t>
  </si>
  <si>
    <t xml:space="preserve">Wenn in der Zelle Buchstaben stehen, wird in den Personenkonten nach dem zugehörigen  </t>
  </si>
  <si>
    <t xml:space="preserve">Namen gesucht und dieser zur Begutachtung angeboten. Wenn er akzeptiert wird, wird die. </t>
  </si>
  <si>
    <t xml:space="preserve">zugehörige Kontonummer in die Zelle und ein Text in Spalte F geschrieben </t>
  </si>
  <si>
    <t>Strg +u:</t>
  </si>
  <si>
    <t>Uebertraege</t>
  </si>
  <si>
    <t>zur Korrektur</t>
  </si>
  <si>
    <t xml:space="preserve">Zeigt die in den Bestandskonten angegebenen Jahres-Überträge an und bietet Gelegenheit </t>
  </si>
  <si>
    <t xml:space="preserve">   Wie wählt man ein Blatt an? (Mausklick auf den Reiter im Blattregister am unteren Bildrand)</t>
  </si>
  <si>
    <t xml:space="preserve">werden, wenn dabei die Struktur des Blatts erhalten bleibt.  Das Arbeitsprotokoll ist das Tabellenblatt, </t>
  </si>
  <si>
    <t xml:space="preserve">mit dem alle Buchungsaufgaben durchgeführt werden, nachdem das System im Blatt Kontenplan </t>
  </si>
  <si>
    <t>der Buchung durch Drücken der Tastenkombination (TK) Strg+b  am Ende der Zeile (Spalte H) .</t>
  </si>
  <si>
    <t>öplob</t>
  </si>
  <si>
    <t xml:space="preserve">Daraus nachrichtlich </t>
  </si>
  <si>
    <t xml:space="preserve">Summe nachrichtlich </t>
  </si>
  <si>
    <t>Straße, Hausnummer</t>
  </si>
  <si>
    <t>PLZ Ort</t>
  </si>
  <si>
    <t>Stand 1.Januar</t>
  </si>
  <si>
    <t>Berichtszeilentext</t>
  </si>
  <si>
    <t xml:space="preserve">Beschg </t>
  </si>
  <si>
    <t>Erläuterungstext</t>
  </si>
  <si>
    <t>PosAnkK</t>
  </si>
  <si>
    <t>PüsabnN</t>
  </si>
  <si>
    <t>PosAnkS</t>
  </si>
  <si>
    <t>PositionsankerB</t>
  </si>
  <si>
    <t>Bericht</t>
  </si>
  <si>
    <t>PositionsankerS</t>
  </si>
  <si>
    <t>PositiondankerK</t>
  </si>
  <si>
    <t xml:space="preserve">Ein Makro wird durch eine Tastendruck-Kombination geweckt, erleichtert so dem Schatzmeister  </t>
  </si>
  <si>
    <t>das Buchen, gewährleistet die Vollständigkeit der Eingabeoperation und erübrigt detsilliertere</t>
  </si>
  <si>
    <t xml:space="preserve">Kenntnis von ExCel. </t>
  </si>
  <si>
    <t>**</t>
  </si>
  <si>
    <t>Zuletzt verwendete ExAcc-Version</t>
  </si>
  <si>
    <t xml:space="preserve">nur über Makroaufrufe von ExAcc aus eingetragen.  Der Schatzmeister kann sich die anderen Tabellen   </t>
  </si>
  <si>
    <t xml:space="preserve">Der Kontenplan ist in mehrere Bereiche eingeteilt mit verschiedenen Kontoarten, die von ExAcc </t>
  </si>
  <si>
    <t>ExAcc erzeugt die notwendigen Blätter bei der ersten Benutzung.</t>
  </si>
  <si>
    <t xml:space="preserve">Die Benutzung von ExAcc geschieht hauptsächlich durch Buchen im Blatt Arbeitsprotokoll. Der Buchungs- </t>
  </si>
  <si>
    <t xml:space="preserve">von ExAcc vorgegebenen Transaktionsnummer (in der ersten Spalte, Spalte A) </t>
  </si>
  <si>
    <t>der Buchung und den  Betrag.  Anschließend aktiviert er die Zelle mit dem von ExAcc vorgegebenen</t>
  </si>
  <si>
    <t>und drückt die Tastenkombination Strg+b.  ExAcc überträgt daraufhin den genannten Betrag in der</t>
  </si>
  <si>
    <t>mit Sammelkonten, oder nicht realen Konten wie durchlaufenden Posten, Fonds) verlangt ExAcc  im</t>
  </si>
  <si>
    <t xml:space="preserve">   Wie aktiviert man eine Zelle? (Mausklick auf die Zelle oder - bei ExAcc meistens - mit Tabulator)</t>
  </si>
  <si>
    <t xml:space="preserve">Die ExAcc-Funktionen werden mit Tastenkombinationen "Strg+Buchstabe" geweckt; </t>
  </si>
  <si>
    <t xml:space="preserve">Buchungprogramm ExAcc       </t>
  </si>
  <si>
    <t xml:space="preserve">Mit dem Buchungsprogramm ExAcc kann der für einen Finanzkörper verantwortliche Schatzmeister </t>
  </si>
  <si>
    <t xml:space="preserve">ist  nach der Methode der doppelten Buchführung, die ExAcc verwendet,  immer der Übertrag eines   </t>
  </si>
  <si>
    <t xml:space="preserve">ExAcc baut auf den Funktionen des Tabellenkalkulationsprogramms Excel von Microsoft auf, die  </t>
  </si>
  <si>
    <t>Eine ExAcc-Anwendung besteht aus zwei Excel-Mappen, die ihrerseits in einer gemeinsamen Mappe</t>
  </si>
  <si>
    <t xml:space="preserve">enthalten sind. Die eine Mappe ist die ExAcc-Mappe  (System-Mappe), bestehend aus den Makros </t>
  </si>
  <si>
    <t xml:space="preserve">Arbeiten mit ExAcc                       </t>
  </si>
  <si>
    <t xml:space="preserve">Das Auslösen von Software-Funktionen in ExAcc läuft immer nach dem gleichen Schema ab:  </t>
  </si>
  <si>
    <t xml:space="preserve">Arbeiten mit ExAcc:    </t>
  </si>
  <si>
    <t>Da die ExAcc-Funktionen sich streng auf die 12 Monate eines Kalenderjahres beziehen,</t>
  </si>
  <si>
    <t xml:space="preserve">übernimmt, nachdem diese neue Anwender-Mappe zusammen mit ExAcc geöffnet wurde, </t>
  </si>
  <si>
    <t>ein Makro von ExAcc, das mit  Strg+j  vom Kontenplan aus aufgerufen wird.</t>
  </si>
  <si>
    <t xml:space="preserve">Wichtig ist, dass Anwender-Mappe und ExAcc sich im gleichen Ordner befinden. </t>
  </si>
  <si>
    <t>Die abgeschlossene Vorjahresmappe in gewohnter Weise zusammen mit ExAcc öffnen..</t>
  </si>
  <si>
    <t xml:space="preserve">mappe erhalten bleibt.  (ExAcc bleibt von alledem unberührt.)    </t>
  </si>
  <si>
    <t xml:space="preserve">unter dem neuen Namen abspeichern.  (Beispiel: Wenn sie vorher Buch2020 hieß, </t>
  </si>
  <si>
    <t xml:space="preserve">dann unter Buch2021 abspeichern und zwar in den gleichen Ordner, in dem auch </t>
  </si>
  <si>
    <t xml:space="preserve">Buch2020 stand und steht.)  Sie wird dann auch unter dem neuen Namen im Fenster </t>
  </si>
  <si>
    <t>2025</t>
  </si>
  <si>
    <t>_____</t>
  </si>
  <si>
    <t>______</t>
  </si>
  <si>
    <t>____</t>
  </si>
  <si>
    <t xml:space="preserve">Geldzuwendung </t>
  </si>
  <si>
    <t>text</t>
  </si>
  <si>
    <t>----</t>
  </si>
  <si>
    <t>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</si>
</sst>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d/m/yy"/>
    <numFmt numFmtId="165" formatCode="d/\ mmm"/>
    <numFmt numFmtId="166" formatCode="#,##0.00_ ;\-#,##0.00\ "/>
    <numFmt numFmtId="167" formatCode="0.00_ ;\-0.00\ "/>
    <numFmt numFmtId="168" formatCode="d/\ mmmm\ yyyy"/>
    <numFmt numFmtId="169" formatCode="#,##0.00_ ;[Red]\-#,##0.00\ "/>
    <numFmt numFmtId="170" formatCode="d/m/yyyy;@"/>
    <numFmt numFmtId="171" formatCode="0.00_ ;[Red]\-0.00\ "/>
    <numFmt numFmtId="172" formatCode="0.0"/>
    <numFmt numFmtId="173" formatCode="0_ ;\-0\ "/>
  </numFmts>
  <fonts count="54">
    <font>
      <sz val="10"/>
      <name val="Arial"/>
    </font>
    <font>
      <sz val="10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Abadi MT Condensed Light"/>
      <family val="2"/>
    </font>
    <font>
      <sz val="10"/>
      <name val="Arial Narrow"/>
      <family val="2"/>
    </font>
    <font>
      <sz val="8"/>
      <name val="Abadi MT Condensed Light"/>
      <family val="2"/>
    </font>
    <font>
      <sz val="8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badi MT Condensed Light"/>
      <family val="2"/>
    </font>
    <font>
      <b/>
      <sz val="14"/>
      <name val="Arial"/>
      <family val="2"/>
    </font>
    <font>
      <sz val="14"/>
      <name val="Abadi MT Condensed Light"/>
      <family val="2"/>
    </font>
    <font>
      <sz val="10"/>
      <name val="Arial Narrow"/>
      <family val="2"/>
    </font>
    <font>
      <sz val="12"/>
      <name val="Arial"/>
      <family val="2"/>
    </font>
    <font>
      <b/>
      <sz val="10"/>
      <name val="Arial Narrow"/>
      <family val="2"/>
    </font>
    <font>
      <strike/>
      <sz val="10"/>
      <name val="Arial"/>
      <family val="2"/>
    </font>
    <font>
      <sz val="8"/>
      <name val="Arial Narrow"/>
      <family val="2"/>
    </font>
    <font>
      <b/>
      <sz val="10"/>
      <name val="Arial"/>
      <family val="2"/>
    </font>
    <font>
      <sz val="11"/>
      <name val="Arial Narrow"/>
      <family val="2"/>
    </font>
    <font>
      <u/>
      <sz val="10"/>
      <color indexed="12"/>
      <name val="Arial"/>
      <family val="2"/>
    </font>
    <font>
      <sz val="10"/>
      <name val="Times New Roman"/>
      <family val="1"/>
    </font>
    <font>
      <b/>
      <sz val="13"/>
      <name val="Arial"/>
      <family val="2"/>
    </font>
    <font>
      <sz val="13"/>
      <name val="Times New Roman"/>
      <family val="1"/>
    </font>
    <font>
      <sz val="13"/>
      <name val="Arial"/>
      <family val="2"/>
    </font>
    <font>
      <sz val="12"/>
      <name val="Times New Roman"/>
      <family val="1"/>
    </font>
    <font>
      <sz val="12"/>
      <name val="Arial"/>
      <family val="2"/>
    </font>
    <font>
      <sz val="9"/>
      <name val="Arial"/>
      <family val="2"/>
    </font>
    <font>
      <sz val="12"/>
      <name val="Arial Narrow"/>
      <family val="2"/>
    </font>
    <font>
      <sz val="4"/>
      <color indexed="27"/>
      <name val="Arial"/>
      <family val="2"/>
    </font>
    <font>
      <sz val="16"/>
      <name val="Arial Narrow"/>
      <family val="2"/>
    </font>
    <font>
      <b/>
      <sz val="12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badi MT Condensed Light"/>
    </font>
    <font>
      <b/>
      <sz val="16"/>
      <name val="Arial"/>
      <family val="2"/>
    </font>
    <font>
      <b/>
      <sz val="9"/>
      <name val="Arial Narrow"/>
      <family val="2"/>
    </font>
    <font>
      <b/>
      <sz val="9"/>
      <name val="Arial"/>
      <family val="2"/>
    </font>
    <font>
      <sz val="9"/>
      <name val="Abadi MT Condensed Light"/>
      <family val="2"/>
    </font>
    <font>
      <b/>
      <sz val="11"/>
      <name val="Arial Narrow"/>
      <family val="2"/>
    </font>
    <font>
      <sz val="11"/>
      <name val="Abadi MT Condensed Light"/>
      <family val="2"/>
    </font>
    <font>
      <sz val="11"/>
      <name val="Segoe Script"/>
      <family val="4"/>
    </font>
    <font>
      <b/>
      <sz val="11"/>
      <name val="Abadi MT Condensed Light"/>
    </font>
    <font>
      <sz val="11"/>
      <name val="Abadi MT Condensed Light"/>
    </font>
    <font>
      <sz val="14"/>
      <name val="Arial Narrow"/>
      <family val="2"/>
    </font>
    <font>
      <b/>
      <i/>
      <sz val="12"/>
      <name val="Bookman Old Style"/>
      <family val="1"/>
    </font>
    <font>
      <sz val="6"/>
      <name val="Arial"/>
      <family val="2"/>
    </font>
    <font>
      <sz val="6"/>
      <name val="Arial Narrow"/>
      <family val="2"/>
    </font>
    <font>
      <b/>
      <sz val="6"/>
      <name val="Arial"/>
      <family val="2"/>
    </font>
    <font>
      <sz val="10"/>
      <name val="Arial"/>
    </font>
  </fonts>
  <fills count="1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5117038483843"/>
        <bgColor indexed="64"/>
      </patternFill>
    </fill>
  </fills>
  <borders count="6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23" fillId="0" borderId="0" applyNumberFormat="0" applyFill="0" applyBorder="0" applyAlignment="0" applyProtection="0">
      <alignment vertical="top"/>
      <protection locked="0"/>
    </xf>
    <xf numFmtId="0" fontId="1" fillId="0" borderId="1" applyFill="0" applyProtection="0">
      <alignment horizontal="center"/>
    </xf>
    <xf numFmtId="0" fontId="36" fillId="0" borderId="0"/>
    <xf numFmtId="0" fontId="1" fillId="0" borderId="0"/>
    <xf numFmtId="0" fontId="1" fillId="0" borderId="0"/>
    <xf numFmtId="0" fontId="53" fillId="0" borderId="0"/>
  </cellStyleXfs>
  <cellXfs count="765">
    <xf numFmtId="0" fontId="0" fillId="0" borderId="0" xfId="0"/>
    <xf numFmtId="0" fontId="4" fillId="0" borderId="0" xfId="0" applyFont="1"/>
    <xf numFmtId="0" fontId="0" fillId="0" borderId="0" xfId="0" applyAlignment="1">
      <alignment horizontal="center"/>
    </xf>
    <xf numFmtId="0" fontId="0" fillId="0" borderId="2" xfId="0" applyBorder="1"/>
    <xf numFmtId="0" fontId="4" fillId="0" borderId="3" xfId="0" applyFont="1" applyBorder="1"/>
    <xf numFmtId="49" fontId="3" fillId="0" borderId="3" xfId="0" applyNumberFormat="1" applyFont="1" applyBorder="1" applyAlignment="1">
      <alignment horizontal="center"/>
    </xf>
    <xf numFmtId="49" fontId="3" fillId="0" borderId="3" xfId="0" applyNumberFormat="1" applyFont="1" applyBorder="1"/>
    <xf numFmtId="0" fontId="0" fillId="0" borderId="3" xfId="0" applyBorder="1" applyAlignment="1">
      <alignment horizontal="center"/>
    </xf>
    <xf numFmtId="1" fontId="0" fillId="0" borderId="3" xfId="0" applyNumberFormat="1" applyBorder="1"/>
    <xf numFmtId="0" fontId="0" fillId="0" borderId="3" xfId="0" applyBorder="1"/>
    <xf numFmtId="164" fontId="4" fillId="0" borderId="3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/>
    <xf numFmtId="0" fontId="3" fillId="0" borderId="0" xfId="0" applyFont="1"/>
    <xf numFmtId="0" fontId="11" fillId="0" borderId="0" xfId="0" applyFont="1"/>
    <xf numFmtId="0" fontId="1" fillId="0" borderId="0" xfId="0" applyFont="1"/>
    <xf numFmtId="0" fontId="21" fillId="0" borderId="0" xfId="0" applyFont="1"/>
    <xf numFmtId="0" fontId="4" fillId="0" borderId="0" xfId="0" applyFont="1" applyAlignment="1">
      <alignment wrapText="1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7" fillId="0" borderId="0" xfId="0" applyFont="1"/>
    <xf numFmtId="0" fontId="26" fillId="0" borderId="0" xfId="0" applyFont="1" applyAlignment="1">
      <alignment vertical="center"/>
    </xf>
    <xf numFmtId="0" fontId="26" fillId="0" borderId="0" xfId="0" applyFont="1"/>
    <xf numFmtId="0" fontId="26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17" fillId="0" borderId="0" xfId="0" applyFont="1" applyAlignment="1">
      <alignment horizontal="left" vertical="center"/>
    </xf>
    <xf numFmtId="0" fontId="28" fillId="0" borderId="0" xfId="0" applyFont="1" applyAlignment="1">
      <alignment horizontal="left"/>
    </xf>
    <xf numFmtId="0" fontId="29" fillId="0" borderId="0" xfId="0" applyFont="1" applyAlignment="1">
      <alignment horizontal="left"/>
    </xf>
    <xf numFmtId="0" fontId="17" fillId="0" borderId="0" xfId="0" applyFont="1"/>
    <xf numFmtId="0" fontId="17" fillId="0" borderId="0" xfId="0" applyFont="1" applyAlignment="1">
      <alignment horizontal="right"/>
    </xf>
    <xf numFmtId="0" fontId="17" fillId="0" borderId="4" xfId="0" applyFont="1" applyBorder="1" applyAlignment="1">
      <alignment horizontal="centerContinuous"/>
    </xf>
    <xf numFmtId="0" fontId="17" fillId="0" borderId="5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right" vertical="center"/>
    </xf>
    <xf numFmtId="0" fontId="8" fillId="0" borderId="0" xfId="0" applyFont="1"/>
    <xf numFmtId="0" fontId="29" fillId="0" borderId="0" xfId="0" applyFont="1" applyAlignment="1">
      <alignment horizontal="right"/>
    </xf>
    <xf numFmtId="0" fontId="10" fillId="0" borderId="4" xfId="0" applyFont="1" applyBorder="1" applyAlignment="1">
      <alignment wrapText="1"/>
    </xf>
    <xf numFmtId="0" fontId="0" fillId="0" borderId="4" xfId="0" applyBorder="1" applyAlignment="1">
      <alignment wrapText="1"/>
    </xf>
    <xf numFmtId="0" fontId="10" fillId="0" borderId="5" xfId="0" applyFont="1" applyBorder="1" applyAlignment="1">
      <alignment wrapText="1"/>
    </xf>
    <xf numFmtId="0" fontId="0" fillId="0" borderId="5" xfId="0" applyBorder="1" applyAlignment="1">
      <alignment wrapText="1"/>
    </xf>
    <xf numFmtId="0" fontId="31" fillId="0" borderId="0" xfId="0" applyFont="1" applyAlignment="1">
      <alignment wrapText="1"/>
    </xf>
    <xf numFmtId="0" fontId="31" fillId="0" borderId="0" xfId="0" applyFont="1"/>
    <xf numFmtId="0" fontId="31" fillId="0" borderId="0" xfId="0" applyFont="1" applyAlignment="1">
      <alignment vertical="center"/>
    </xf>
    <xf numFmtId="0" fontId="25" fillId="0" borderId="0" xfId="0" applyFont="1" applyAlignment="1" applyProtection="1">
      <alignment horizontal="left" vertical="center"/>
      <protection locked="0"/>
    </xf>
    <xf numFmtId="0" fontId="25" fillId="0" borderId="0" xfId="0" applyFont="1"/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vertical="center"/>
    </xf>
    <xf numFmtId="0" fontId="29" fillId="0" borderId="0" xfId="0" applyFont="1" applyAlignment="1">
      <alignment horizontal="right" vertical="center"/>
    </xf>
    <xf numFmtId="168" fontId="17" fillId="0" borderId="4" xfId="0" applyNumberFormat="1" applyFont="1" applyBorder="1" applyAlignment="1">
      <alignment horizontal="left"/>
    </xf>
    <xf numFmtId="1" fontId="0" fillId="0" borderId="0" xfId="0" applyNumberFormat="1"/>
    <xf numFmtId="1" fontId="20" fillId="0" borderId="0" xfId="0" applyNumberFormat="1" applyFont="1"/>
    <xf numFmtId="0" fontId="0" fillId="0" borderId="0" xfId="0" applyAlignment="1">
      <alignment horizontal="right" indent="1"/>
    </xf>
    <xf numFmtId="0" fontId="12" fillId="0" borderId="0" xfId="0" applyFont="1" applyAlignment="1">
      <alignment horizontal="left" vertical="top" wrapText="1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166" fontId="0" fillId="0" borderId="0" xfId="0" applyNumberFormat="1" applyAlignment="1">
      <alignment horizontal="right"/>
    </xf>
    <xf numFmtId="0" fontId="7" fillId="1" borderId="6" xfId="0" applyFont="1" applyFill="1" applyBorder="1" applyAlignment="1">
      <alignment horizontal="center" vertical="center"/>
    </xf>
    <xf numFmtId="165" fontId="0" fillId="1" borderId="7" xfId="0" applyNumberFormat="1" applyFill="1" applyBorder="1" applyAlignment="1">
      <alignment horizontal="right" vertical="center"/>
    </xf>
    <xf numFmtId="0" fontId="2" fillId="1" borderId="7" xfId="0" applyFont="1" applyFill="1" applyBorder="1" applyAlignment="1">
      <alignment vertical="center"/>
    </xf>
    <xf numFmtId="0" fontId="2" fillId="1" borderId="5" xfId="0" applyFont="1" applyFill="1" applyBorder="1" applyAlignment="1">
      <alignment horizontal="right" vertical="center"/>
    </xf>
    <xf numFmtId="0" fontId="8" fillId="1" borderId="8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11" fillId="0" borderId="0" xfId="0" applyFont="1" applyAlignment="1">
      <alignment horizontal="left"/>
    </xf>
    <xf numFmtId="0" fontId="35" fillId="0" borderId="0" xfId="0" applyFont="1" applyAlignment="1">
      <alignment horizontal="left"/>
    </xf>
    <xf numFmtId="0" fontId="35" fillId="0" borderId="0" xfId="0" applyFont="1"/>
    <xf numFmtId="0" fontId="37" fillId="2" borderId="0" xfId="3" applyFont="1" applyFill="1"/>
    <xf numFmtId="0" fontId="36" fillId="2" borderId="0" xfId="3" applyFill="1"/>
    <xf numFmtId="0" fontId="5" fillId="2" borderId="0" xfId="3" applyFont="1" applyFill="1"/>
    <xf numFmtId="0" fontId="37" fillId="2" borderId="0" xfId="3" applyFont="1" applyFill="1" applyAlignment="1">
      <alignment horizontal="center"/>
    </xf>
    <xf numFmtId="0" fontId="37" fillId="2" borderId="14" xfId="3" applyFont="1" applyFill="1" applyBorder="1"/>
    <xf numFmtId="0" fontId="37" fillId="2" borderId="15" xfId="3" applyFont="1" applyFill="1" applyBorder="1"/>
    <xf numFmtId="0" fontId="37" fillId="2" borderId="6" xfId="3" applyFont="1" applyFill="1" applyBorder="1" applyAlignment="1">
      <alignment horizontal="center"/>
    </xf>
    <xf numFmtId="0" fontId="5" fillId="2" borderId="7" xfId="3" applyFont="1" applyFill="1" applyBorder="1"/>
    <xf numFmtId="0" fontId="37" fillId="2" borderId="16" xfId="3" applyFont="1" applyFill="1" applyBorder="1"/>
    <xf numFmtId="0" fontId="37" fillId="2" borderId="17" xfId="3" applyFont="1" applyFill="1" applyBorder="1"/>
    <xf numFmtId="0" fontId="18" fillId="2" borderId="12" xfId="3" applyFont="1" applyFill="1" applyBorder="1" applyAlignment="1">
      <alignment horizontal="center"/>
    </xf>
    <xf numFmtId="0" fontId="5" fillId="2" borderId="13" xfId="3" applyFont="1" applyFill="1" applyBorder="1"/>
    <xf numFmtId="0" fontId="37" fillId="2" borderId="18" xfId="3" applyFont="1" applyFill="1" applyBorder="1" applyAlignment="1">
      <alignment horizontal="center"/>
    </xf>
    <xf numFmtId="0" fontId="18" fillId="2" borderId="0" xfId="3" applyFont="1" applyFill="1" applyAlignment="1">
      <alignment horizontal="center"/>
    </xf>
    <xf numFmtId="0" fontId="5" fillId="2" borderId="8" xfId="3" applyFont="1" applyFill="1" applyBorder="1"/>
    <xf numFmtId="0" fontId="36" fillId="2" borderId="19" xfId="3" applyFill="1" applyBorder="1"/>
    <xf numFmtId="0" fontId="36" fillId="2" borderId="20" xfId="3" applyFill="1" applyBorder="1" applyAlignment="1">
      <alignment horizontal="center"/>
    </xf>
    <xf numFmtId="0" fontId="36" fillId="2" borderId="0" xfId="3" applyFill="1" applyAlignment="1">
      <alignment horizontal="center"/>
    </xf>
    <xf numFmtId="0" fontId="5" fillId="2" borderId="3" xfId="3" applyFont="1" applyFill="1" applyBorder="1" applyAlignment="1">
      <alignment vertical="top"/>
    </xf>
    <xf numFmtId="0" fontId="36" fillId="2" borderId="17" xfId="3" applyFill="1" applyBorder="1" applyAlignment="1">
      <alignment horizontal="center"/>
    </xf>
    <xf numFmtId="0" fontId="36" fillId="2" borderId="12" xfId="3" applyFill="1" applyBorder="1" applyAlignment="1">
      <alignment horizontal="center"/>
    </xf>
    <xf numFmtId="0" fontId="5" fillId="2" borderId="21" xfId="3" applyFont="1" applyFill="1" applyBorder="1" applyAlignment="1">
      <alignment vertical="top"/>
    </xf>
    <xf numFmtId="0" fontId="37" fillId="2" borderId="20" xfId="3" applyFont="1" applyFill="1" applyBorder="1" applyAlignment="1">
      <alignment horizontal="center"/>
    </xf>
    <xf numFmtId="0" fontId="18" fillId="2" borderId="6" xfId="3" applyFont="1" applyFill="1" applyBorder="1" applyAlignment="1">
      <alignment horizontal="center"/>
    </xf>
    <xf numFmtId="0" fontId="5" fillId="2" borderId="8" xfId="3" applyFont="1" applyFill="1" applyBorder="1" applyAlignment="1">
      <alignment vertical="top"/>
    </xf>
    <xf numFmtId="0" fontId="18" fillId="2" borderId="2" xfId="3" applyFont="1" applyFill="1" applyBorder="1" applyAlignment="1">
      <alignment horizontal="center"/>
    </xf>
    <xf numFmtId="0" fontId="36" fillId="2" borderId="20" xfId="3" applyFill="1" applyBorder="1"/>
    <xf numFmtId="0" fontId="36" fillId="2" borderId="12" xfId="3" applyFill="1" applyBorder="1"/>
    <xf numFmtId="0" fontId="5" fillId="2" borderId="21" xfId="3" applyFont="1" applyFill="1" applyBorder="1"/>
    <xf numFmtId="0" fontId="5" fillId="2" borderId="3" xfId="3" applyFont="1" applyFill="1" applyBorder="1" applyAlignment="1">
      <alignment vertical="center"/>
    </xf>
    <xf numFmtId="0" fontId="5" fillId="2" borderId="2" xfId="3" applyFont="1" applyFill="1" applyBorder="1" applyAlignment="1">
      <alignment horizontal="center"/>
    </xf>
    <xf numFmtId="0" fontId="37" fillId="2" borderId="17" xfId="3" applyFont="1" applyFill="1" applyBorder="1" applyAlignment="1">
      <alignment horizontal="center"/>
    </xf>
    <xf numFmtId="0" fontId="5" fillId="2" borderId="12" xfId="3" applyFont="1" applyFill="1" applyBorder="1" applyAlignment="1">
      <alignment horizontal="center"/>
    </xf>
    <xf numFmtId="0" fontId="18" fillId="2" borderId="18" xfId="3" applyFont="1" applyFill="1" applyBorder="1" applyAlignment="1">
      <alignment horizontal="center"/>
    </xf>
    <xf numFmtId="0" fontId="5" fillId="2" borderId="3" xfId="3" applyFont="1" applyFill="1" applyBorder="1"/>
    <xf numFmtId="0" fontId="36" fillId="2" borderId="17" xfId="3" applyFill="1" applyBorder="1"/>
    <xf numFmtId="0" fontId="37" fillId="2" borderId="22" xfId="3" applyFont="1" applyFill="1" applyBorder="1"/>
    <xf numFmtId="0" fontId="37" fillId="2" borderId="23" xfId="3" applyFont="1" applyFill="1" applyBorder="1" applyAlignment="1">
      <alignment horizontal="center"/>
    </xf>
    <xf numFmtId="0" fontId="18" fillId="2" borderId="24" xfId="3" applyFont="1" applyFill="1" applyBorder="1" applyAlignment="1">
      <alignment horizontal="center"/>
    </xf>
    <xf numFmtId="0" fontId="36" fillId="2" borderId="16" xfId="3" applyFill="1" applyBorder="1"/>
    <xf numFmtId="0" fontId="37" fillId="2" borderId="19" xfId="3" applyFont="1" applyFill="1" applyBorder="1"/>
    <xf numFmtId="0" fontId="18" fillId="2" borderId="20" xfId="3" applyFont="1" applyFill="1" applyBorder="1" applyAlignment="1">
      <alignment horizontal="center"/>
    </xf>
    <xf numFmtId="0" fontId="37" fillId="2" borderId="25" xfId="3" applyFont="1" applyFill="1" applyBorder="1"/>
    <xf numFmtId="0" fontId="18" fillId="2" borderId="26" xfId="3" applyFont="1" applyFill="1" applyBorder="1" applyAlignment="1">
      <alignment horizontal="center"/>
    </xf>
    <xf numFmtId="0" fontId="37" fillId="2" borderId="0" xfId="3" applyFont="1" applyFill="1" applyAlignment="1">
      <alignment horizontal="left"/>
    </xf>
    <xf numFmtId="0" fontId="5" fillId="2" borderId="0" xfId="3" applyFont="1" applyFill="1" applyAlignment="1">
      <alignment horizontal="center"/>
    </xf>
    <xf numFmtId="0" fontId="37" fillId="2" borderId="15" xfId="3" applyFont="1" applyFill="1" applyBorder="1" applyAlignment="1">
      <alignment horizontal="center"/>
    </xf>
    <xf numFmtId="0" fontId="36" fillId="2" borderId="25" xfId="3" applyFill="1" applyBorder="1"/>
    <xf numFmtId="0" fontId="37" fillId="0" borderId="0" xfId="0" applyFont="1"/>
    <xf numFmtId="0" fontId="14" fillId="0" borderId="0" xfId="0" applyFont="1"/>
    <xf numFmtId="0" fontId="36" fillId="0" borderId="0" xfId="0" applyFont="1"/>
    <xf numFmtId="0" fontId="1" fillId="0" borderId="0" xfId="5"/>
    <xf numFmtId="4" fontId="1" fillId="0" borderId="0" xfId="5" applyNumberFormat="1"/>
    <xf numFmtId="0" fontId="1" fillId="3" borderId="0" xfId="5" applyFill="1"/>
    <xf numFmtId="169" fontId="13" fillId="0" borderId="0" xfId="5" applyNumberFormat="1" applyFont="1"/>
    <xf numFmtId="169" fontId="21" fillId="0" borderId="0" xfId="5" applyNumberFormat="1" applyFont="1"/>
    <xf numFmtId="171" fontId="1" fillId="3" borderId="0" xfId="5" applyNumberFormat="1" applyFill="1"/>
    <xf numFmtId="166" fontId="11" fillId="3" borderId="0" xfId="5" applyNumberFormat="1" applyFont="1" applyFill="1" applyAlignment="1">
      <alignment horizontal="right"/>
    </xf>
    <xf numFmtId="169" fontId="21" fillId="0" borderId="0" xfId="5" applyNumberFormat="1" applyFont="1" applyAlignment="1">
      <alignment horizontal="right"/>
    </xf>
    <xf numFmtId="0" fontId="5" fillId="0" borderId="0" xfId="5" applyFont="1" applyAlignment="1">
      <alignment horizontal="centerContinuous"/>
    </xf>
    <xf numFmtId="171" fontId="21" fillId="0" borderId="0" xfId="5" applyNumberFormat="1" applyFont="1"/>
    <xf numFmtId="171" fontId="21" fillId="0" borderId="0" xfId="5" applyNumberFormat="1" applyFont="1" applyAlignment="1">
      <alignment horizontal="right"/>
    </xf>
    <xf numFmtId="171" fontId="21" fillId="3" borderId="0" xfId="5" applyNumberFormat="1" applyFont="1" applyFill="1"/>
    <xf numFmtId="49" fontId="21" fillId="0" borderId="0" xfId="5" applyNumberFormat="1" applyFont="1" applyAlignment="1">
      <alignment horizontal="center"/>
    </xf>
    <xf numFmtId="0" fontId="21" fillId="0" borderId="0" xfId="5" applyFont="1" applyAlignment="1">
      <alignment horizontal="left"/>
    </xf>
    <xf numFmtId="0" fontId="21" fillId="0" borderId="0" xfId="5" applyFont="1" applyAlignment="1">
      <alignment horizontal="center"/>
    </xf>
    <xf numFmtId="0" fontId="7" fillId="0" borderId="0" xfId="5" applyFont="1"/>
    <xf numFmtId="0" fontId="7" fillId="0" borderId="0" xfId="5" applyFont="1" applyAlignment="1">
      <alignment horizontal="right"/>
    </xf>
    <xf numFmtId="0" fontId="33" fillId="0" borderId="0" xfId="5" applyFont="1"/>
    <xf numFmtId="0" fontId="17" fillId="0" borderId="0" xfId="5" applyFont="1" applyAlignment="1">
      <alignment vertical="center"/>
    </xf>
    <xf numFmtId="0" fontId="32" fillId="0" borderId="0" xfId="5" applyFont="1"/>
    <xf numFmtId="49" fontId="11" fillId="3" borderId="30" xfId="5" applyNumberFormat="1" applyFont="1" applyFill="1" applyBorder="1" applyAlignment="1" applyProtection="1">
      <alignment horizontal="left" vertical="center" indent="1"/>
      <protection locked="0"/>
    </xf>
    <xf numFmtId="49" fontId="11" fillId="4" borderId="0" xfId="5" applyNumberFormat="1" applyFont="1" applyFill="1" applyAlignment="1" applyProtection="1">
      <alignment horizontal="left" vertical="center" indent="1"/>
      <protection locked="0"/>
    </xf>
    <xf numFmtId="49" fontId="11" fillId="3" borderId="0" xfId="5" applyNumberFormat="1" applyFont="1" applyFill="1" applyAlignment="1" applyProtection="1">
      <alignment horizontal="left" vertical="center" indent="1"/>
      <protection locked="0"/>
    </xf>
    <xf numFmtId="166" fontId="5" fillId="4" borderId="0" xfId="5" applyNumberFormat="1" applyFont="1" applyFill="1" applyAlignment="1">
      <alignment horizontal="centerContinuous"/>
    </xf>
    <xf numFmtId="166" fontId="21" fillId="4" borderId="0" xfId="5" applyNumberFormat="1" applyFont="1" applyFill="1" applyAlignment="1">
      <alignment horizontal="left"/>
    </xf>
    <xf numFmtId="166" fontId="18" fillId="3" borderId="0" xfId="5" applyNumberFormat="1" applyFont="1" applyFill="1"/>
    <xf numFmtId="166" fontId="21" fillId="0" borderId="0" xfId="5" applyNumberFormat="1" applyFont="1"/>
    <xf numFmtId="1" fontId="15" fillId="6" borderId="31" xfId="4" applyNumberFormat="1" applyFont="1" applyFill="1" applyBorder="1" applyAlignment="1">
      <alignment horizontal="center" vertical="center"/>
    </xf>
    <xf numFmtId="0" fontId="1" fillId="0" borderId="0" xfId="5" applyAlignment="1">
      <alignment horizontal="center"/>
    </xf>
    <xf numFmtId="0" fontId="38" fillId="0" borderId="2" xfId="5" applyFont="1" applyBorder="1"/>
    <xf numFmtId="49" fontId="1" fillId="0" borderId="32" xfId="5" applyNumberFormat="1" applyBorder="1" applyAlignment="1">
      <alignment horizontal="center"/>
    </xf>
    <xf numFmtId="0" fontId="1" fillId="0" borderId="32" xfId="5" applyBorder="1" applyAlignment="1">
      <alignment horizontal="center"/>
    </xf>
    <xf numFmtId="4" fontId="1" fillId="0" borderId="33" xfId="5" applyNumberFormat="1" applyBorder="1" applyAlignment="1">
      <alignment horizontal="right"/>
    </xf>
    <xf numFmtId="164" fontId="20" fillId="0" borderId="32" xfId="5" applyNumberFormat="1" applyFont="1" applyBorder="1" applyAlignment="1">
      <alignment horizontal="center"/>
    </xf>
    <xf numFmtId="0" fontId="38" fillId="0" borderId="32" xfId="5" applyFont="1" applyBorder="1"/>
    <xf numFmtId="49" fontId="1" fillId="0" borderId="3" xfId="5" applyNumberFormat="1" applyBorder="1" applyAlignment="1">
      <alignment horizontal="center"/>
    </xf>
    <xf numFmtId="0" fontId="1" fillId="0" borderId="3" xfId="5" applyBorder="1" applyAlignment="1">
      <alignment horizontal="center"/>
    </xf>
    <xf numFmtId="4" fontId="1" fillId="0" borderId="0" xfId="5" applyNumberFormat="1" applyAlignment="1">
      <alignment horizontal="right"/>
    </xf>
    <xf numFmtId="164" fontId="20" fillId="0" borderId="3" xfId="5" applyNumberFormat="1" applyFont="1" applyBorder="1" applyAlignment="1">
      <alignment horizontal="center"/>
    </xf>
    <xf numFmtId="1" fontId="38" fillId="0" borderId="3" xfId="5" applyNumberFormat="1" applyFont="1" applyBorder="1"/>
    <xf numFmtId="0" fontId="38" fillId="0" borderId="3" xfId="5" applyFont="1" applyBorder="1"/>
    <xf numFmtId="0" fontId="1" fillId="0" borderId="3" xfId="5" applyBorder="1"/>
    <xf numFmtId="49" fontId="1" fillId="0" borderId="0" xfId="5" applyNumberFormat="1" applyAlignment="1">
      <alignment horizontal="center"/>
    </xf>
    <xf numFmtId="14" fontId="20" fillId="0" borderId="0" xfId="5" applyNumberFormat="1" applyFont="1" applyAlignment="1">
      <alignment horizontal="center"/>
    </xf>
    <xf numFmtId="164" fontId="20" fillId="0" borderId="0" xfId="5" applyNumberFormat="1" applyFont="1" applyAlignment="1">
      <alignment horizontal="center"/>
    </xf>
    <xf numFmtId="0" fontId="6" fillId="0" borderId="0" xfId="5" applyFont="1"/>
    <xf numFmtId="0" fontId="5" fillId="0" borderId="0" xfId="5" applyFont="1"/>
    <xf numFmtId="0" fontId="1" fillId="0" borderId="0" xfId="5" applyAlignment="1">
      <alignment horizontal="left"/>
    </xf>
    <xf numFmtId="0" fontId="19" fillId="0" borderId="0" xfId="5" applyFont="1" applyAlignment="1">
      <alignment horizontal="center"/>
    </xf>
    <xf numFmtId="49" fontId="19" fillId="0" borderId="0" xfId="5" applyNumberFormat="1" applyFont="1" applyAlignment="1">
      <alignment horizontal="center"/>
    </xf>
    <xf numFmtId="0" fontId="19" fillId="0" borderId="0" xfId="5" applyFont="1"/>
    <xf numFmtId="4" fontId="19" fillId="0" borderId="0" xfId="5" applyNumberFormat="1" applyFont="1" applyAlignment="1">
      <alignment horizontal="right"/>
    </xf>
    <xf numFmtId="14" fontId="7" fillId="0" borderId="0" xfId="5" applyNumberFormat="1" applyFont="1" applyAlignment="1">
      <alignment horizontal="center"/>
    </xf>
    <xf numFmtId="0" fontId="21" fillId="2" borderId="0" xfId="5" applyFont="1" applyFill="1"/>
    <xf numFmtId="0" fontId="1" fillId="2" borderId="0" xfId="5" applyFill="1"/>
    <xf numFmtId="0" fontId="5" fillId="2" borderId="0" xfId="5" applyFont="1" applyFill="1"/>
    <xf numFmtId="0" fontId="21" fillId="2" borderId="0" xfId="5" applyFont="1" applyFill="1" applyAlignment="1">
      <alignment horizontal="center"/>
    </xf>
    <xf numFmtId="0" fontId="21" fillId="7" borderId="14" xfId="5" applyFont="1" applyFill="1" applyBorder="1"/>
    <xf numFmtId="0" fontId="21" fillId="7" borderId="15" xfId="5" applyFont="1" applyFill="1" applyBorder="1"/>
    <xf numFmtId="0" fontId="21" fillId="7" borderId="16" xfId="5" applyFont="1" applyFill="1" applyBorder="1"/>
    <xf numFmtId="0" fontId="21" fillId="7" borderId="17" xfId="5" applyFont="1" applyFill="1" applyBorder="1"/>
    <xf numFmtId="0" fontId="21" fillId="7" borderId="34" xfId="5" applyFont="1" applyFill="1" applyBorder="1"/>
    <xf numFmtId="0" fontId="21" fillId="7" borderId="18" xfId="5" applyFont="1" applyFill="1" applyBorder="1" applyAlignment="1">
      <alignment horizontal="center"/>
    </xf>
    <xf numFmtId="0" fontId="18" fillId="2" borderId="0" xfId="5" applyFont="1" applyFill="1" applyAlignment="1">
      <alignment horizontal="center"/>
    </xf>
    <xf numFmtId="0" fontId="5" fillId="2" borderId="8" xfId="5" applyFont="1" applyFill="1" applyBorder="1"/>
    <xf numFmtId="0" fontId="1" fillId="7" borderId="19" xfId="5" applyFill="1" applyBorder="1"/>
    <xf numFmtId="0" fontId="1" fillId="7" borderId="20" xfId="5" applyFill="1" applyBorder="1" applyAlignment="1">
      <alignment horizontal="center"/>
    </xf>
    <xf numFmtId="0" fontId="1" fillId="2" borderId="0" xfId="5" applyFill="1" applyAlignment="1">
      <alignment horizontal="center"/>
    </xf>
    <xf numFmtId="0" fontId="5" fillId="2" borderId="3" xfId="5" applyFont="1" applyFill="1" applyBorder="1" applyAlignment="1">
      <alignment vertical="top"/>
    </xf>
    <xf numFmtId="0" fontId="1" fillId="7" borderId="17" xfId="5" applyFill="1" applyBorder="1" applyAlignment="1">
      <alignment horizontal="center"/>
    </xf>
    <xf numFmtId="0" fontId="1" fillId="2" borderId="12" xfId="5" applyFill="1" applyBorder="1" applyAlignment="1">
      <alignment horizontal="center"/>
    </xf>
    <xf numFmtId="0" fontId="5" fillId="2" borderId="21" xfId="5" applyFont="1" applyFill="1" applyBorder="1" applyAlignment="1">
      <alignment vertical="top"/>
    </xf>
    <xf numFmtId="0" fontId="21" fillId="7" borderId="20" xfId="5" applyFont="1" applyFill="1" applyBorder="1" applyAlignment="1">
      <alignment horizontal="center"/>
    </xf>
    <xf numFmtId="0" fontId="18" fillId="2" borderId="6" xfId="5" applyFont="1" applyFill="1" applyBorder="1" applyAlignment="1">
      <alignment horizontal="center"/>
    </xf>
    <xf numFmtId="0" fontId="5" fillId="2" borderId="8" xfId="5" applyFont="1" applyFill="1" applyBorder="1" applyAlignment="1">
      <alignment vertical="top"/>
    </xf>
    <xf numFmtId="0" fontId="18" fillId="2" borderId="2" xfId="5" applyFont="1" applyFill="1" applyBorder="1" applyAlignment="1">
      <alignment horizontal="center"/>
    </xf>
    <xf numFmtId="0" fontId="1" fillId="7" borderId="20" xfId="5" applyFill="1" applyBorder="1"/>
    <xf numFmtId="0" fontId="1" fillId="2" borderId="12" xfId="5" applyFill="1" applyBorder="1"/>
    <xf numFmtId="0" fontId="5" fillId="2" borderId="21" xfId="5" applyFont="1" applyFill="1" applyBorder="1"/>
    <xf numFmtId="0" fontId="5" fillId="2" borderId="3" xfId="5" applyFont="1" applyFill="1" applyBorder="1" applyAlignment="1">
      <alignment vertical="center"/>
    </xf>
    <xf numFmtId="0" fontId="5" fillId="2" borderId="2" xfId="5" applyFont="1" applyFill="1" applyBorder="1" applyAlignment="1">
      <alignment horizontal="center"/>
    </xf>
    <xf numFmtId="0" fontId="21" fillId="7" borderId="17" xfId="5" applyFont="1" applyFill="1" applyBorder="1" applyAlignment="1">
      <alignment horizontal="center"/>
    </xf>
    <xf numFmtId="0" fontId="5" fillId="2" borderId="12" xfId="5" applyFont="1" applyFill="1" applyBorder="1" applyAlignment="1">
      <alignment horizontal="center"/>
    </xf>
    <xf numFmtId="0" fontId="5" fillId="2" borderId="21" xfId="5" applyFont="1" applyFill="1" applyBorder="1" applyAlignment="1">
      <alignment vertical="center"/>
    </xf>
    <xf numFmtId="0" fontId="5" fillId="2" borderId="3" xfId="5" applyFont="1" applyFill="1" applyBorder="1"/>
    <xf numFmtId="0" fontId="21" fillId="7" borderId="22" xfId="5" applyFont="1" applyFill="1" applyBorder="1"/>
    <xf numFmtId="0" fontId="1" fillId="7" borderId="16" xfId="5" applyFill="1" applyBorder="1"/>
    <xf numFmtId="0" fontId="18" fillId="2" borderId="12" xfId="5" applyFont="1" applyFill="1" applyBorder="1" applyAlignment="1">
      <alignment horizontal="center"/>
    </xf>
    <xf numFmtId="0" fontId="21" fillId="7" borderId="19" xfId="5" applyFont="1" applyFill="1" applyBorder="1"/>
    <xf numFmtId="0" fontId="5" fillId="2" borderId="31" xfId="5" applyFont="1" applyFill="1" applyBorder="1"/>
    <xf numFmtId="0" fontId="21" fillId="7" borderId="25" xfId="5" applyFont="1" applyFill="1" applyBorder="1"/>
    <xf numFmtId="0" fontId="21" fillId="7" borderId="26" xfId="5" applyFont="1" applyFill="1" applyBorder="1" applyAlignment="1">
      <alignment horizontal="center"/>
    </xf>
    <xf numFmtId="0" fontId="21" fillId="2" borderId="0" xfId="5" applyFont="1" applyFill="1" applyAlignment="1">
      <alignment horizontal="left"/>
    </xf>
    <xf numFmtId="0" fontId="5" fillId="2" borderId="0" xfId="5" applyFont="1" applyFill="1" applyAlignment="1">
      <alignment horizontal="center"/>
    </xf>
    <xf numFmtId="0" fontId="5" fillId="2" borderId="4" xfId="5" applyFont="1" applyFill="1" applyBorder="1"/>
    <xf numFmtId="0" fontId="21" fillId="2" borderId="15" xfId="5" applyFont="1" applyFill="1" applyBorder="1" applyAlignment="1">
      <alignment horizontal="center"/>
    </xf>
    <xf numFmtId="0" fontId="1" fillId="2" borderId="25" xfId="5" applyFill="1" applyBorder="1"/>
    <xf numFmtId="4" fontId="1" fillId="0" borderId="0" xfId="5" applyNumberFormat="1" applyAlignment="1">
      <alignment horizontal="left"/>
    </xf>
    <xf numFmtId="49" fontId="7" fillId="0" borderId="0" xfId="5" applyNumberFormat="1" applyFont="1" applyAlignment="1">
      <alignment horizontal="center"/>
    </xf>
    <xf numFmtId="0" fontId="7" fillId="5" borderId="0" xfId="5" applyFont="1" applyFill="1"/>
    <xf numFmtId="4" fontId="19" fillId="0" borderId="0" xfId="5" applyNumberFormat="1" applyFont="1" applyAlignment="1">
      <alignment horizontal="left"/>
    </xf>
    <xf numFmtId="4" fontId="19" fillId="0" borderId="0" xfId="5" applyNumberFormat="1" applyFont="1"/>
    <xf numFmtId="14" fontId="7" fillId="0" borderId="0" xfId="5" applyNumberFormat="1" applyFont="1" applyAlignment="1">
      <alignment horizontal="center" vertical="center"/>
    </xf>
    <xf numFmtId="49" fontId="1" fillId="0" borderId="0" xfId="5" applyNumberFormat="1"/>
    <xf numFmtId="0" fontId="1" fillId="5" borderId="0" xfId="5" applyFill="1"/>
    <xf numFmtId="4" fontId="7" fillId="5" borderId="0" xfId="5" applyNumberFormat="1" applyFont="1" applyFill="1"/>
    <xf numFmtId="14" fontId="1" fillId="0" borderId="0" xfId="5" applyNumberFormat="1"/>
    <xf numFmtId="4" fontId="5" fillId="4" borderId="0" xfId="5" applyNumberFormat="1" applyFont="1" applyFill="1" applyAlignment="1">
      <alignment horizontal="right" vertical="center"/>
    </xf>
    <xf numFmtId="4" fontId="21" fillId="4" borderId="0" xfId="5" applyNumberFormat="1" applyFont="1" applyFill="1" applyAlignment="1">
      <alignment horizontal="right" vertical="center"/>
    </xf>
    <xf numFmtId="4" fontId="11" fillId="3" borderId="0" xfId="5" applyNumberFormat="1" applyFont="1" applyFill="1" applyAlignment="1">
      <alignment horizontal="right" vertical="center"/>
    </xf>
    <xf numFmtId="4" fontId="21" fillId="0" borderId="0" xfId="5" applyNumberFormat="1" applyFont="1" applyAlignment="1">
      <alignment horizontal="right" vertical="center"/>
    </xf>
    <xf numFmtId="49" fontId="43" fillId="0" borderId="36" xfId="5" applyNumberFormat="1" applyFont="1" applyBorder="1" applyAlignment="1" applyProtection="1">
      <alignment horizontal="left" vertical="center" indent="1"/>
      <protection locked="0"/>
    </xf>
    <xf numFmtId="49" fontId="5" fillId="0" borderId="37" xfId="5" applyNumberFormat="1" applyFont="1" applyBorder="1" applyAlignment="1" applyProtection="1">
      <alignment horizontal="right" vertical="center"/>
      <protection locked="0"/>
    </xf>
    <xf numFmtId="49" fontId="11" fillId="0" borderId="37" xfId="5" applyNumberFormat="1" applyFont="1" applyBorder="1" applyAlignment="1" applyProtection="1">
      <alignment horizontal="left" vertical="center" indent="1"/>
      <protection locked="0"/>
    </xf>
    <xf numFmtId="172" fontId="5" fillId="4" borderId="0" xfId="5" applyNumberFormat="1" applyFont="1" applyFill="1" applyAlignment="1">
      <alignment horizontal="right" vertical="center"/>
    </xf>
    <xf numFmtId="49" fontId="5" fillId="3" borderId="19" xfId="5" applyNumberFormat="1" applyFont="1" applyFill="1" applyBorder="1" applyAlignment="1" applyProtection="1">
      <alignment horizontal="left" vertical="center" wrapText="1"/>
      <protection locked="0"/>
    </xf>
    <xf numFmtId="49" fontId="5" fillId="3" borderId="34" xfId="5" applyNumberFormat="1" applyFont="1" applyFill="1" applyBorder="1" applyAlignment="1" applyProtection="1">
      <alignment horizontal="left" vertical="center" wrapText="1"/>
      <protection locked="0"/>
    </xf>
    <xf numFmtId="172" fontId="5" fillId="3" borderId="0" xfId="5" applyNumberFormat="1" applyFont="1" applyFill="1" applyAlignment="1">
      <alignment horizontal="right" vertical="center"/>
    </xf>
    <xf numFmtId="0" fontId="1" fillId="0" borderId="0" xfId="5" applyAlignment="1">
      <alignment vertical="center"/>
    </xf>
    <xf numFmtId="0" fontId="2" fillId="0" borderId="0" xfId="0" applyFont="1"/>
    <xf numFmtId="0" fontId="44" fillId="0" borderId="0" xfId="0" applyFont="1"/>
    <xf numFmtId="0" fontId="5" fillId="2" borderId="24" xfId="3" applyFont="1" applyFill="1" applyBorder="1"/>
    <xf numFmtId="0" fontId="44" fillId="0" borderId="0" xfId="0" applyFont="1" applyAlignment="1">
      <alignment vertical="center"/>
    </xf>
    <xf numFmtId="0" fontId="21" fillId="2" borderId="20" xfId="3" applyFont="1" applyFill="1" applyBorder="1" applyAlignment="1">
      <alignment horizontal="center"/>
    </xf>
    <xf numFmtId="0" fontId="21" fillId="2" borderId="26" xfId="3" applyFont="1" applyFill="1" applyBorder="1" applyAlignment="1">
      <alignment horizontal="center"/>
    </xf>
    <xf numFmtId="0" fontId="21" fillId="2" borderId="34" xfId="3" applyFont="1" applyFill="1" applyBorder="1"/>
    <xf numFmtId="0" fontId="21" fillId="2" borderId="22" xfId="3" applyFont="1" applyFill="1" applyBorder="1"/>
    <xf numFmtId="0" fontId="21" fillId="2" borderId="14" xfId="3" applyFont="1" applyFill="1" applyBorder="1"/>
    <xf numFmtId="0" fontId="21" fillId="2" borderId="19" xfId="3" applyFont="1" applyFill="1" applyBorder="1"/>
    <xf numFmtId="0" fontId="5" fillId="7" borderId="0" xfId="0" applyFont="1" applyFill="1"/>
    <xf numFmtId="0" fontId="47" fillId="0" borderId="0" xfId="0" applyFont="1"/>
    <xf numFmtId="0" fontId="21" fillId="0" borderId="0" xfId="5" applyFont="1" applyAlignment="1">
      <alignment horizontal="right"/>
    </xf>
    <xf numFmtId="0" fontId="1" fillId="0" borderId="0" xfId="5" applyAlignment="1">
      <alignment horizontal="right"/>
    </xf>
    <xf numFmtId="0" fontId="1" fillId="0" borderId="29" xfId="5" applyBorder="1"/>
    <xf numFmtId="49" fontId="5" fillId="0" borderId="28" xfId="5" applyNumberFormat="1" applyFont="1" applyBorder="1" applyAlignment="1" applyProtection="1">
      <alignment horizontal="right" vertical="center"/>
      <protection locked="0"/>
    </xf>
    <xf numFmtId="166" fontId="18" fillId="0" borderId="0" xfId="5" applyNumberFormat="1" applyFont="1"/>
    <xf numFmtId="166" fontId="11" fillId="0" borderId="0" xfId="5" applyNumberFormat="1" applyFont="1" applyAlignment="1">
      <alignment horizontal="right"/>
    </xf>
    <xf numFmtId="171" fontId="1" fillId="0" borderId="0" xfId="5" applyNumberFormat="1"/>
    <xf numFmtId="49" fontId="11" fillId="0" borderId="0" xfId="5" applyNumberFormat="1" applyFont="1" applyAlignment="1" applyProtection="1">
      <alignment horizontal="left" vertical="center" indent="1"/>
      <protection locked="0"/>
    </xf>
    <xf numFmtId="166" fontId="11" fillId="0" borderId="0" xfId="5" applyNumberFormat="1" applyFont="1" applyAlignment="1" applyProtection="1">
      <alignment horizontal="left"/>
      <protection locked="0"/>
    </xf>
    <xf numFmtId="0" fontId="1" fillId="0" borderId="30" xfId="5" applyBorder="1"/>
    <xf numFmtId="172" fontId="21" fillId="0" borderId="30" xfId="5" applyNumberFormat="1" applyFont="1" applyBorder="1" applyAlignment="1">
      <alignment horizontal="center" vertical="center"/>
    </xf>
    <xf numFmtId="172" fontId="5" fillId="0" borderId="30" xfId="5" applyNumberFormat="1" applyFont="1" applyBorder="1" applyAlignment="1">
      <alignment horizontal="right" vertical="center"/>
    </xf>
    <xf numFmtId="166" fontId="5" fillId="3" borderId="0" xfId="5" applyNumberFormat="1" applyFont="1" applyFill="1"/>
    <xf numFmtId="169" fontId="18" fillId="3" borderId="2" xfId="5" applyNumberFormat="1" applyFont="1" applyFill="1" applyBorder="1" applyAlignment="1">
      <alignment horizontal="right" vertical="center" wrapText="1"/>
    </xf>
    <xf numFmtId="169" fontId="11" fillId="3" borderId="38" xfId="5" applyNumberFormat="1" applyFont="1" applyFill="1" applyBorder="1" applyAlignment="1">
      <alignment horizontal="right" vertical="center"/>
    </xf>
    <xf numFmtId="169" fontId="11" fillId="3" borderId="22" xfId="5" applyNumberFormat="1" applyFont="1" applyFill="1" applyBorder="1" applyAlignment="1" applyProtection="1">
      <alignment horizontal="right" vertical="center"/>
      <protection locked="0"/>
    </xf>
    <xf numFmtId="169" fontId="18" fillId="3" borderId="0" xfId="5" applyNumberFormat="1" applyFont="1" applyFill="1" applyAlignment="1">
      <alignment horizontal="right" vertical="center"/>
    </xf>
    <xf numFmtId="169" fontId="18" fillId="3" borderId="18" xfId="5" applyNumberFormat="1" applyFont="1" applyFill="1" applyBorder="1" applyAlignment="1">
      <alignment horizontal="right" vertical="center"/>
    </xf>
    <xf numFmtId="169" fontId="11" fillId="3" borderId="5" xfId="5" applyNumberFormat="1" applyFont="1" applyFill="1" applyBorder="1" applyAlignment="1" applyProtection="1">
      <alignment horizontal="right" vertical="center"/>
      <protection locked="0"/>
    </xf>
    <xf numFmtId="169" fontId="18" fillId="3" borderId="3" xfId="5" applyNumberFormat="1" applyFont="1" applyFill="1" applyBorder="1" applyAlignment="1">
      <alignment horizontal="right" vertical="center" wrapText="1"/>
    </xf>
    <xf numFmtId="169" fontId="18" fillId="3" borderId="6" xfId="5" applyNumberFormat="1" applyFont="1" applyFill="1" applyBorder="1" applyAlignment="1">
      <alignment horizontal="right" vertical="center" wrapText="1"/>
    </xf>
    <xf numFmtId="169" fontId="11" fillId="3" borderId="7" xfId="5" applyNumberFormat="1" applyFont="1" applyFill="1" applyBorder="1" applyAlignment="1">
      <alignment horizontal="right" vertical="center"/>
    </xf>
    <xf numFmtId="169" fontId="18" fillId="3" borderId="5" xfId="5" applyNumberFormat="1" applyFont="1" applyFill="1" applyBorder="1" applyAlignment="1">
      <alignment horizontal="right" vertical="center"/>
    </xf>
    <xf numFmtId="169" fontId="18" fillId="3" borderId="8" xfId="5" applyNumberFormat="1" applyFont="1" applyFill="1" applyBorder="1" applyAlignment="1">
      <alignment horizontal="right" vertical="center" wrapText="1"/>
    </xf>
    <xf numFmtId="169" fontId="11" fillId="0" borderId="1" xfId="5" applyNumberFormat="1" applyFont="1" applyBorder="1" applyAlignment="1">
      <alignment horizontal="right" vertical="center"/>
    </xf>
    <xf numFmtId="169" fontId="21" fillId="0" borderId="9" xfId="5" applyNumberFormat="1" applyFont="1" applyBorder="1" applyAlignment="1">
      <alignment horizontal="right" vertical="center"/>
    </xf>
    <xf numFmtId="169" fontId="11" fillId="0" borderId="41" xfId="5" applyNumberFormat="1" applyFont="1" applyBorder="1" applyAlignment="1">
      <alignment horizontal="right" vertical="center"/>
    </xf>
    <xf numFmtId="172" fontId="5" fillId="3" borderId="31" xfId="5" applyNumberFormat="1" applyFont="1" applyFill="1" applyBorder="1" applyAlignment="1">
      <alignment horizontal="right" vertical="center"/>
    </xf>
    <xf numFmtId="169" fontId="11" fillId="0" borderId="42" xfId="5" applyNumberFormat="1" applyFont="1" applyBorder="1" applyAlignment="1">
      <alignment horizontal="right" vertical="center"/>
    </xf>
    <xf numFmtId="169" fontId="11" fillId="0" borderId="9" xfId="5" applyNumberFormat="1" applyFont="1" applyBorder="1" applyAlignment="1">
      <alignment horizontal="right" vertical="center"/>
    </xf>
    <xf numFmtId="169" fontId="11" fillId="0" borderId="43" xfId="5" applyNumberFormat="1" applyFont="1" applyBorder="1" applyAlignment="1">
      <alignment horizontal="right" vertical="center"/>
    </xf>
    <xf numFmtId="169" fontId="21" fillId="0" borderId="42" xfId="5" applyNumberFormat="1" applyFont="1" applyBorder="1" applyAlignment="1">
      <alignment horizontal="right" vertical="center"/>
    </xf>
    <xf numFmtId="172" fontId="5" fillId="0" borderId="0" xfId="5" applyNumberFormat="1" applyFont="1" applyAlignment="1">
      <alignment horizontal="right" vertical="center"/>
    </xf>
    <xf numFmtId="169" fontId="11" fillId="0" borderId="44" xfId="5" applyNumberFormat="1" applyFont="1" applyBorder="1" applyAlignment="1" applyProtection="1">
      <alignment horizontal="right" vertical="center"/>
      <protection locked="0"/>
    </xf>
    <xf numFmtId="0" fontId="1" fillId="0" borderId="45" xfId="5" applyBorder="1"/>
    <xf numFmtId="0" fontId="1" fillId="0" borderId="33" xfId="5" applyBorder="1" applyAlignment="1">
      <alignment horizontal="right" vertical="center"/>
    </xf>
    <xf numFmtId="0" fontId="1" fillId="0" borderId="0" xfId="5" applyAlignment="1">
      <alignment horizontal="right" vertical="center"/>
    </xf>
    <xf numFmtId="0" fontId="1" fillId="0" borderId="1" xfId="5" applyBorder="1" applyAlignment="1">
      <alignment horizontal="right"/>
    </xf>
    <xf numFmtId="0" fontId="1" fillId="0" borderId="29" xfId="5" applyBorder="1" applyAlignment="1">
      <alignment horizontal="right"/>
    </xf>
    <xf numFmtId="169" fontId="1" fillId="0" borderId="47" xfId="5" applyNumberFormat="1" applyBorder="1" applyAlignment="1">
      <alignment horizontal="right" vertical="center"/>
    </xf>
    <xf numFmtId="169" fontId="1" fillId="0" borderId="41" xfId="5" applyNumberFormat="1" applyBorder="1" applyAlignment="1">
      <alignment horizontal="right"/>
    </xf>
    <xf numFmtId="169" fontId="1" fillId="0" borderId="35" xfId="5" applyNumberFormat="1" applyBorder="1" applyAlignment="1">
      <alignment horizontal="right" vertical="center"/>
    </xf>
    <xf numFmtId="49" fontId="14" fillId="0" borderId="36" xfId="5" applyNumberFormat="1" applyFont="1" applyBorder="1" applyAlignment="1" applyProtection="1">
      <alignment horizontal="left" vertical="center" indent="1"/>
      <protection locked="0"/>
    </xf>
    <xf numFmtId="49" fontId="14" fillId="0" borderId="37" xfId="5" applyNumberFormat="1" applyFont="1" applyBorder="1" applyAlignment="1" applyProtection="1">
      <alignment horizontal="left" vertical="center"/>
      <protection locked="0"/>
    </xf>
    <xf numFmtId="0" fontId="14" fillId="0" borderId="0" xfId="5" applyFont="1" applyAlignment="1">
      <alignment horizontal="center" vertical="center"/>
    </xf>
    <xf numFmtId="0" fontId="14" fillId="0" borderId="28" xfId="5" applyFont="1" applyBorder="1" applyAlignment="1">
      <alignment horizontal="center" vertical="center"/>
    </xf>
    <xf numFmtId="49" fontId="12" fillId="0" borderId="48" xfId="5" applyNumberFormat="1" applyFont="1" applyBorder="1" applyAlignment="1" applyProtection="1">
      <alignment horizontal="center" vertical="center"/>
      <protection locked="0"/>
    </xf>
    <xf numFmtId="4" fontId="12" fillId="0" borderId="33" xfId="5" applyNumberFormat="1" applyFont="1" applyBorder="1" applyAlignment="1" applyProtection="1">
      <alignment horizontal="center" vertical="center"/>
      <protection locked="0"/>
    </xf>
    <xf numFmtId="172" fontId="12" fillId="0" borderId="49" xfId="5" applyNumberFormat="1" applyFont="1" applyBorder="1" applyAlignment="1" applyProtection="1">
      <alignment horizontal="center" vertical="center"/>
      <protection locked="0"/>
    </xf>
    <xf numFmtId="166" fontId="12" fillId="0" borderId="48" xfId="5" applyNumberFormat="1" applyFont="1" applyBorder="1" applyAlignment="1">
      <alignment horizontal="center" vertical="center"/>
    </xf>
    <xf numFmtId="4" fontId="12" fillId="0" borderId="33" xfId="5" applyNumberFormat="1" applyFont="1" applyBorder="1" applyAlignment="1">
      <alignment horizontal="center" vertical="center"/>
    </xf>
    <xf numFmtId="172" fontId="12" fillId="0" borderId="49" xfId="5" applyNumberFormat="1" applyFont="1" applyBorder="1" applyAlignment="1">
      <alignment horizontal="center" vertical="center"/>
    </xf>
    <xf numFmtId="166" fontId="12" fillId="0" borderId="48" xfId="5" applyNumberFormat="1" applyFont="1" applyBorder="1" applyAlignment="1" applyProtection="1">
      <alignment horizontal="center" vertical="center"/>
      <protection locked="0"/>
    </xf>
    <xf numFmtId="0" fontId="12" fillId="0" borderId="33" xfId="5" applyFont="1" applyBorder="1" applyAlignment="1">
      <alignment horizontal="center" vertical="center"/>
    </xf>
    <xf numFmtId="0" fontId="12" fillId="0" borderId="49" xfId="5" applyFont="1" applyBorder="1" applyAlignment="1">
      <alignment horizontal="center" vertical="center"/>
    </xf>
    <xf numFmtId="0" fontId="12" fillId="0" borderId="48" xfId="5" applyFont="1" applyBorder="1" applyAlignment="1">
      <alignment horizontal="center" vertical="center"/>
    </xf>
    <xf numFmtId="172" fontId="5" fillId="0" borderId="50" xfId="5" applyNumberFormat="1" applyFont="1" applyBorder="1" applyAlignment="1" applyProtection="1">
      <alignment horizontal="right" vertical="center"/>
      <protection locked="0"/>
    </xf>
    <xf numFmtId="172" fontId="5" fillId="0" borderId="27" xfId="5" applyNumberFormat="1" applyFont="1" applyBorder="1" applyAlignment="1">
      <alignment horizontal="right" vertical="center"/>
    </xf>
    <xf numFmtId="0" fontId="1" fillId="6" borderId="31" xfId="4" applyFill="1" applyBorder="1" applyAlignment="1">
      <alignment horizontal="center" vertical="center"/>
    </xf>
    <xf numFmtId="1" fontId="48" fillId="6" borderId="8" xfId="4" applyNumberFormat="1" applyFont="1" applyFill="1" applyBorder="1" applyAlignment="1">
      <alignment horizontal="center" vertical="center"/>
    </xf>
    <xf numFmtId="1" fontId="2" fillId="6" borderId="8" xfId="4" applyNumberFormat="1" applyFont="1" applyFill="1" applyBorder="1" applyAlignment="1">
      <alignment horizontal="center" vertical="center"/>
    </xf>
    <xf numFmtId="1" fontId="1" fillId="6" borderId="5" xfId="4" applyNumberFormat="1" applyFill="1" applyBorder="1" applyAlignment="1">
      <alignment horizontal="center" vertical="center"/>
    </xf>
    <xf numFmtId="0" fontId="49" fillId="6" borderId="37" xfId="4" applyFont="1" applyFill="1" applyBorder="1" applyAlignment="1">
      <alignment horizontal="left" vertical="center"/>
    </xf>
    <xf numFmtId="0" fontId="4" fillId="0" borderId="3" xfId="4" applyFont="1" applyBorder="1" applyAlignment="1">
      <alignment horizontal="center"/>
    </xf>
    <xf numFmtId="0" fontId="1" fillId="6" borderId="31" xfId="4" applyFill="1" applyBorder="1" applyAlignment="1">
      <alignment horizontal="center"/>
    </xf>
    <xf numFmtId="1" fontId="5" fillId="6" borderId="8" xfId="4" applyNumberFormat="1" applyFont="1" applyFill="1" applyBorder="1" applyAlignment="1">
      <alignment horizontal="center" vertical="center"/>
    </xf>
    <xf numFmtId="1" fontId="5" fillId="6" borderId="3" xfId="4" applyNumberFormat="1" applyFont="1" applyFill="1" applyBorder="1" applyAlignment="1">
      <alignment horizontal="center" vertical="center"/>
    </xf>
    <xf numFmtId="0" fontId="7" fillId="6" borderId="21" xfId="4" applyFont="1" applyFill="1" applyBorder="1" applyAlignment="1">
      <alignment horizontal="center"/>
    </xf>
    <xf numFmtId="0" fontId="5" fillId="6" borderId="21" xfId="4" applyFont="1" applyFill="1" applyBorder="1" applyAlignment="1">
      <alignment horizontal="center"/>
    </xf>
    <xf numFmtId="0" fontId="4" fillId="6" borderId="31" xfId="4" applyFont="1" applyFill="1" applyBorder="1"/>
    <xf numFmtId="0" fontId="4" fillId="6" borderId="3" xfId="4" applyFont="1" applyFill="1" applyBorder="1" applyAlignment="1">
      <alignment horizontal="center"/>
    </xf>
    <xf numFmtId="0" fontId="1" fillId="6" borderId="38" xfId="4" applyFill="1" applyBorder="1" applyAlignment="1">
      <alignment horizontal="center"/>
    </xf>
    <xf numFmtId="0" fontId="1" fillId="6" borderId="32" xfId="4" applyFill="1" applyBorder="1" applyAlignment="1">
      <alignment horizontal="center"/>
    </xf>
    <xf numFmtId="0" fontId="1" fillId="6" borderId="9" xfId="4" applyFill="1" applyBorder="1" applyAlignment="1">
      <alignment horizontal="right"/>
    </xf>
    <xf numFmtId="0" fontId="1" fillId="0" borderId="9" xfId="4" applyBorder="1" applyAlignment="1">
      <alignment horizontal="center"/>
    </xf>
    <xf numFmtId="0" fontId="1" fillId="0" borderId="10" xfId="4" applyBorder="1"/>
    <xf numFmtId="0" fontId="1" fillId="6" borderId="9" xfId="4" applyFill="1" applyBorder="1" applyAlignment="1">
      <alignment horizontal="center"/>
    </xf>
    <xf numFmtId="164" fontId="5" fillId="6" borderId="11" xfId="4" applyNumberFormat="1" applyFont="1" applyFill="1" applyBorder="1" applyAlignment="1">
      <alignment horizontal="left"/>
    </xf>
    <xf numFmtId="0" fontId="4" fillId="0" borderId="36" xfId="4" applyFont="1" applyBorder="1"/>
    <xf numFmtId="0" fontId="4" fillId="0" borderId="31" xfId="4" applyFont="1" applyBorder="1"/>
    <xf numFmtId="1" fontId="16" fillId="0" borderId="38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38" xfId="0" applyFont="1" applyBorder="1"/>
    <xf numFmtId="0" fontId="0" fillId="0" borderId="38" xfId="0" applyBorder="1"/>
    <xf numFmtId="49" fontId="1" fillId="0" borderId="3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3" xfId="0" applyNumberFormat="1" applyFont="1" applyBorder="1"/>
    <xf numFmtId="0" fontId="1" fillId="0" borderId="3" xfId="0" applyFont="1" applyBorder="1"/>
    <xf numFmtId="0" fontId="1" fillId="0" borderId="2" xfId="0" applyFont="1" applyBorder="1"/>
    <xf numFmtId="0" fontId="0" fillId="6" borderId="3" xfId="0" applyFill="1" applyBorder="1" applyAlignment="1">
      <alignment horizontal="center"/>
    </xf>
    <xf numFmtId="0" fontId="1" fillId="6" borderId="10" xfId="4" applyFill="1" applyBorder="1"/>
    <xf numFmtId="0" fontId="0" fillId="0" borderId="5" xfId="0" applyBorder="1" applyAlignment="1">
      <alignment horizontal="center"/>
    </xf>
    <xf numFmtId="1" fontId="0" fillId="0" borderId="5" xfId="0" applyNumberFormat="1" applyBorder="1"/>
    <xf numFmtId="0" fontId="0" fillId="0" borderId="5" xfId="0" applyBorder="1"/>
    <xf numFmtId="49" fontId="3" fillId="0" borderId="5" xfId="0" applyNumberFormat="1" applyFont="1" applyBorder="1"/>
    <xf numFmtId="49" fontId="3" fillId="0" borderId="5" xfId="0" applyNumberFormat="1" applyFont="1" applyBorder="1" applyAlignment="1">
      <alignment horizontal="center"/>
    </xf>
    <xf numFmtId="49" fontId="3" fillId="0" borderId="5" xfId="0" applyNumberFormat="1" applyFont="1" applyBorder="1" applyAlignment="1">
      <alignment horizontal="left"/>
    </xf>
    <xf numFmtId="164" fontId="4" fillId="0" borderId="5" xfId="0" applyNumberFormat="1" applyFont="1" applyBorder="1" applyAlignment="1">
      <alignment horizontal="center"/>
    </xf>
    <xf numFmtId="0" fontId="4" fillId="0" borderId="5" xfId="0" applyFont="1" applyBorder="1"/>
    <xf numFmtId="49" fontId="3" fillId="0" borderId="0" xfId="0" applyNumberFormat="1" applyFont="1"/>
    <xf numFmtId="49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/>
    </xf>
    <xf numFmtId="164" fontId="4" fillId="0" borderId="0" xfId="0" applyNumberFormat="1" applyFont="1" applyAlignment="1">
      <alignment horizontal="center"/>
    </xf>
    <xf numFmtId="10" fontId="4" fillId="0" borderId="0" xfId="0" applyNumberFormat="1" applyFont="1"/>
    <xf numFmtId="0" fontId="1" fillId="0" borderId="3" xfId="0" applyFont="1" applyBorder="1" applyAlignment="1">
      <alignment horizontal="center"/>
    </xf>
    <xf numFmtId="0" fontId="1" fillId="0" borderId="0" xfId="4" applyAlignment="1">
      <alignment horizontal="center"/>
    </xf>
    <xf numFmtId="1" fontId="5" fillId="0" borderId="3" xfId="4" applyNumberFormat="1" applyFont="1" applyBorder="1" applyAlignment="1">
      <alignment horizontal="center" vertical="center"/>
    </xf>
    <xf numFmtId="1" fontId="5" fillId="0" borderId="2" xfId="4" applyNumberFormat="1" applyFont="1" applyBorder="1" applyAlignment="1">
      <alignment horizontal="center" vertical="center"/>
    </xf>
    <xf numFmtId="0" fontId="7" fillId="0" borderId="3" xfId="4" applyFont="1" applyBorder="1" applyAlignment="1">
      <alignment horizontal="center"/>
    </xf>
    <xf numFmtId="0" fontId="5" fillId="0" borderId="38" xfId="4" applyFont="1" applyBorder="1" applyAlignment="1">
      <alignment horizontal="center"/>
    </xf>
    <xf numFmtId="0" fontId="4" fillId="0" borderId="12" xfId="4" applyFont="1" applyBorder="1"/>
    <xf numFmtId="0" fontId="50" fillId="0" borderId="0" xfId="5" applyFont="1" applyAlignment="1">
      <alignment horizontal="right"/>
    </xf>
    <xf numFmtId="0" fontId="51" fillId="0" borderId="0" xfId="5" applyFont="1" applyAlignment="1">
      <alignment horizontal="centerContinuous"/>
    </xf>
    <xf numFmtId="0" fontId="50" fillId="0" borderId="0" xfId="5" applyFont="1"/>
    <xf numFmtId="0" fontId="1" fillId="0" borderId="0" xfId="5" applyAlignment="1">
      <alignment horizontal="center" vertical="center"/>
    </xf>
    <xf numFmtId="169" fontId="18" fillId="4" borderId="18" xfId="5" applyNumberFormat="1" applyFont="1" applyFill="1" applyBorder="1" applyAlignment="1">
      <alignment horizontal="right" vertical="center"/>
    </xf>
    <xf numFmtId="0" fontId="5" fillId="0" borderId="37" xfId="5" applyFont="1" applyBorder="1" applyAlignment="1">
      <alignment horizontal="right" vertical="center"/>
    </xf>
    <xf numFmtId="0" fontId="7" fillId="0" borderId="30" xfId="5" applyFont="1" applyBorder="1" applyAlignment="1">
      <alignment horizontal="right"/>
    </xf>
    <xf numFmtId="49" fontId="21" fillId="0" borderId="30" xfId="5" applyNumberFormat="1" applyFont="1" applyBorder="1" applyAlignment="1">
      <alignment horizontal="center"/>
    </xf>
    <xf numFmtId="169" fontId="21" fillId="0" borderId="30" xfId="5" applyNumberFormat="1" applyFont="1" applyBorder="1" applyAlignment="1">
      <alignment horizontal="right"/>
    </xf>
    <xf numFmtId="171" fontId="21" fillId="0" borderId="30" xfId="5" applyNumberFormat="1" applyFont="1" applyBorder="1" applyAlignment="1">
      <alignment horizontal="right"/>
    </xf>
    <xf numFmtId="169" fontId="13" fillId="0" borderId="30" xfId="5" applyNumberFormat="1" applyFont="1" applyBorder="1"/>
    <xf numFmtId="49" fontId="11" fillId="0" borderId="52" xfId="5" applyNumberFormat="1" applyFont="1" applyBorder="1" applyAlignment="1" applyProtection="1">
      <alignment horizontal="left" vertical="center"/>
      <protection locked="0"/>
    </xf>
    <xf numFmtId="49" fontId="11" fillId="0" borderId="1" xfId="5" applyNumberFormat="1" applyFont="1" applyBorder="1" applyAlignment="1" applyProtection="1">
      <alignment horizontal="left" vertical="center" indent="1"/>
      <protection locked="0"/>
    </xf>
    <xf numFmtId="0" fontId="11" fillId="0" borderId="1" xfId="5" applyFont="1" applyBorder="1" applyAlignment="1">
      <alignment vertical="center"/>
    </xf>
    <xf numFmtId="49" fontId="11" fillId="0" borderId="41" xfId="5" applyNumberFormat="1" applyFont="1" applyBorder="1" applyAlignment="1" applyProtection="1">
      <alignment horizontal="left" vertical="center"/>
      <protection locked="0"/>
    </xf>
    <xf numFmtId="172" fontId="5" fillId="8" borderId="0" xfId="5" applyNumberFormat="1" applyFont="1" applyFill="1" applyAlignment="1">
      <alignment horizontal="right" vertical="center"/>
    </xf>
    <xf numFmtId="49" fontId="11" fillId="8" borderId="33" xfId="5" applyNumberFormat="1" applyFont="1" applyFill="1" applyBorder="1" applyAlignment="1" applyProtection="1">
      <alignment horizontal="left" vertical="center" indent="1"/>
      <protection locked="0"/>
    </xf>
    <xf numFmtId="49" fontId="11" fillId="8" borderId="53" xfId="5" applyNumberFormat="1" applyFont="1" applyFill="1" applyBorder="1" applyAlignment="1" applyProtection="1">
      <alignment horizontal="left" vertical="center" indent="1"/>
      <protection locked="0"/>
    </xf>
    <xf numFmtId="49" fontId="11" fillId="8" borderId="54" xfId="5" applyNumberFormat="1" applyFont="1" applyFill="1" applyBorder="1" applyAlignment="1" applyProtection="1">
      <alignment horizontal="center" vertical="center"/>
      <protection locked="0"/>
    </xf>
    <xf numFmtId="49" fontId="11" fillId="8" borderId="48" xfId="5" applyNumberFormat="1" applyFont="1" applyFill="1" applyBorder="1" applyAlignment="1" applyProtection="1">
      <alignment horizontal="left" vertical="center" indent="1"/>
      <protection locked="0"/>
    </xf>
    <xf numFmtId="0" fontId="1" fillId="8" borderId="0" xfId="5" applyFill="1"/>
    <xf numFmtId="0" fontId="7" fillId="8" borderId="0" xfId="5" applyFont="1" applyFill="1" applyAlignment="1">
      <alignment horizontal="right"/>
    </xf>
    <xf numFmtId="172" fontId="5" fillId="8" borderId="27" xfId="5" applyNumberFormat="1" applyFont="1" applyFill="1" applyBorder="1" applyAlignment="1">
      <alignment horizontal="right" vertical="center"/>
    </xf>
    <xf numFmtId="4" fontId="11" fillId="8" borderId="11" xfId="5" applyNumberFormat="1" applyFont="1" applyFill="1" applyBorder="1" applyAlignment="1">
      <alignment horizontal="right" vertical="center"/>
    </xf>
    <xf numFmtId="49" fontId="11" fillId="8" borderId="52" xfId="5" applyNumberFormat="1" applyFont="1" applyFill="1" applyBorder="1" applyAlignment="1" applyProtection="1">
      <alignment horizontal="left" vertical="center" indent="1"/>
      <protection locked="0"/>
    </xf>
    <xf numFmtId="0" fontId="50" fillId="8" borderId="0" xfId="5" applyFont="1" applyFill="1" applyAlignment="1">
      <alignment horizontal="right"/>
    </xf>
    <xf numFmtId="0" fontId="52" fillId="8" borderId="0" xfId="5" applyFont="1" applyFill="1" applyAlignment="1">
      <alignment horizontal="right"/>
    </xf>
    <xf numFmtId="49" fontId="11" fillId="8" borderId="50" xfId="5" applyNumberFormat="1" applyFont="1" applyFill="1" applyBorder="1" applyAlignment="1" applyProtection="1">
      <alignment horizontal="center" vertical="center"/>
      <protection locked="0"/>
    </xf>
    <xf numFmtId="49" fontId="11" fillId="8" borderId="44" xfId="5" applyNumberFormat="1" applyFont="1" applyFill="1" applyBorder="1" applyAlignment="1" applyProtection="1">
      <alignment horizontal="center" vertical="center"/>
      <protection locked="0"/>
    </xf>
    <xf numFmtId="172" fontId="21" fillId="8" borderId="54" xfId="5" applyNumberFormat="1" applyFont="1" applyFill="1" applyBorder="1" applyAlignment="1" applyProtection="1">
      <alignment horizontal="center" vertical="center"/>
      <protection locked="0"/>
    </xf>
    <xf numFmtId="49" fontId="11" fillId="8" borderId="55" xfId="5" applyNumberFormat="1" applyFont="1" applyFill="1" applyBorder="1" applyAlignment="1" applyProtection="1">
      <alignment horizontal="center" vertical="center"/>
      <protection locked="0"/>
    </xf>
    <xf numFmtId="4" fontId="11" fillId="8" borderId="54" xfId="5" applyNumberFormat="1" applyFont="1" applyFill="1" applyBorder="1" applyAlignment="1" applyProtection="1">
      <alignment horizontal="center" vertical="center"/>
      <protection locked="0"/>
    </xf>
    <xf numFmtId="172" fontId="5" fillId="8" borderId="50" xfId="5" applyNumberFormat="1" applyFont="1" applyFill="1" applyBorder="1" applyAlignment="1" applyProtection="1">
      <alignment horizontal="right" vertical="center"/>
      <protection locked="0"/>
    </xf>
    <xf numFmtId="4" fontId="11" fillId="8" borderId="54" xfId="5" applyNumberFormat="1" applyFont="1" applyFill="1" applyBorder="1" applyAlignment="1" applyProtection="1">
      <alignment horizontal="left" vertical="center"/>
      <protection locked="0"/>
    </xf>
    <xf numFmtId="169" fontId="21" fillId="8" borderId="10" xfId="5" applyNumberFormat="1" applyFont="1" applyFill="1" applyBorder="1" applyAlignment="1">
      <alignment horizontal="right" vertical="center"/>
    </xf>
    <xf numFmtId="169" fontId="11" fillId="8" borderId="1" xfId="5" applyNumberFormat="1" applyFont="1" applyFill="1" applyBorder="1" applyAlignment="1">
      <alignment horizontal="center" vertical="center"/>
    </xf>
    <xf numFmtId="169" fontId="11" fillId="8" borderId="10" xfId="5" applyNumberFormat="1" applyFont="1" applyFill="1" applyBorder="1" applyAlignment="1">
      <alignment horizontal="right" vertical="center"/>
    </xf>
    <xf numFmtId="169" fontId="11" fillId="8" borderId="52" xfId="5" applyNumberFormat="1" applyFont="1" applyFill="1" applyBorder="1" applyAlignment="1">
      <alignment horizontal="right" vertical="center"/>
    </xf>
    <xf numFmtId="169" fontId="11" fillId="8" borderId="52" xfId="5" applyNumberFormat="1" applyFont="1" applyFill="1" applyBorder="1" applyAlignment="1">
      <alignment horizontal="left" vertical="center"/>
    </xf>
    <xf numFmtId="49" fontId="11" fillId="8" borderId="56" xfId="5" applyNumberFormat="1" applyFont="1" applyFill="1" applyBorder="1" applyAlignment="1" applyProtection="1">
      <alignment horizontal="center" vertical="center"/>
      <protection locked="0"/>
    </xf>
    <xf numFmtId="49" fontId="11" fillId="8" borderId="53" xfId="5" applyNumberFormat="1" applyFont="1" applyFill="1" applyBorder="1" applyAlignment="1" applyProtection="1">
      <alignment horizontal="center" vertical="center"/>
      <protection locked="0"/>
    </xf>
    <xf numFmtId="49" fontId="11" fillId="8" borderId="54" xfId="5" applyNumberFormat="1" applyFont="1" applyFill="1" applyBorder="1" applyAlignment="1" applyProtection="1">
      <alignment horizontal="left" vertical="center"/>
      <protection locked="0"/>
    </xf>
    <xf numFmtId="166" fontId="11" fillId="8" borderId="0" xfId="5" applyNumberFormat="1" applyFont="1" applyFill="1" applyAlignment="1" applyProtection="1">
      <alignment horizontal="left"/>
      <protection locked="0"/>
    </xf>
    <xf numFmtId="4" fontId="11" fillId="8" borderId="0" xfId="5" applyNumberFormat="1" applyFont="1" applyFill="1" applyAlignment="1">
      <alignment horizontal="right" vertical="center"/>
    </xf>
    <xf numFmtId="166" fontId="5" fillId="8" borderId="0" xfId="5" applyNumberFormat="1" applyFont="1" applyFill="1" applyAlignment="1">
      <alignment horizontal="left" vertical="center" wrapText="1"/>
    </xf>
    <xf numFmtId="172" fontId="5" fillId="8" borderId="0" xfId="5" applyNumberFormat="1" applyFont="1" applyFill="1" applyAlignment="1" applyProtection="1">
      <alignment horizontal="right" vertical="center"/>
      <protection locked="0"/>
    </xf>
    <xf numFmtId="4" fontId="11" fillId="8" borderId="0" xfId="5" applyNumberFormat="1" applyFont="1" applyFill="1" applyAlignment="1" applyProtection="1">
      <alignment horizontal="right" vertical="center"/>
      <protection locked="0"/>
    </xf>
    <xf numFmtId="49" fontId="22" fillId="8" borderId="30" xfId="5" applyNumberFormat="1" applyFont="1" applyFill="1" applyBorder="1" applyAlignment="1" applyProtection="1">
      <alignment horizontal="left" vertical="center" wrapText="1"/>
      <protection locked="0"/>
    </xf>
    <xf numFmtId="0" fontId="1" fillId="8" borderId="33" xfId="5" applyFill="1" applyBorder="1"/>
    <xf numFmtId="0" fontId="21" fillId="8" borderId="33" xfId="5" applyFont="1" applyFill="1" applyBorder="1" applyAlignment="1">
      <alignment horizontal="left"/>
    </xf>
    <xf numFmtId="0" fontId="7" fillId="8" borderId="33" xfId="5" applyFont="1" applyFill="1" applyBorder="1" applyAlignment="1">
      <alignment horizontal="right"/>
    </xf>
    <xf numFmtId="0" fontId="9" fillId="8" borderId="33" xfId="5" applyFont="1" applyFill="1" applyBorder="1" applyAlignment="1">
      <alignment horizontal="right" indent="1"/>
    </xf>
    <xf numFmtId="2" fontId="11" fillId="8" borderId="33" xfId="5" applyNumberFormat="1" applyFont="1" applyFill="1" applyBorder="1" applyAlignment="1" applyProtection="1">
      <alignment horizontal="left" vertical="center"/>
      <protection locked="0"/>
    </xf>
    <xf numFmtId="49" fontId="11" fillId="8" borderId="33" xfId="5" applyNumberFormat="1" applyFont="1" applyFill="1" applyBorder="1" applyAlignment="1" applyProtection="1">
      <alignment horizontal="left" vertical="center"/>
      <protection locked="0"/>
    </xf>
    <xf numFmtId="49" fontId="11" fillId="0" borderId="24" xfId="5" applyNumberFormat="1" applyFont="1" applyBorder="1" applyAlignment="1" applyProtection="1">
      <alignment horizontal="right" vertical="center"/>
      <protection locked="0"/>
    </xf>
    <xf numFmtId="49" fontId="12" fillId="0" borderId="28" xfId="5" applyNumberFormat="1" applyFont="1" applyBorder="1" applyAlignment="1" applyProtection="1">
      <alignment horizontal="right" vertical="center"/>
      <protection locked="0"/>
    </xf>
    <xf numFmtId="0" fontId="12" fillId="0" borderId="57" xfId="5" applyFont="1" applyBorder="1"/>
    <xf numFmtId="0" fontId="1" fillId="0" borderId="58" xfId="5" applyBorder="1" applyAlignment="1">
      <alignment horizontal="center"/>
    </xf>
    <xf numFmtId="0" fontId="30" fillId="0" borderId="0" xfId="0" applyFont="1"/>
    <xf numFmtId="166" fontId="30" fillId="0" borderId="0" xfId="0" applyNumberFormat="1" applyFont="1"/>
    <xf numFmtId="166" fontId="0" fillId="0" borderId="0" xfId="0" applyNumberFormat="1"/>
    <xf numFmtId="0" fontId="34" fillId="1" borderId="32" xfId="0" applyFont="1" applyFill="1" applyBorder="1" applyAlignment="1">
      <alignment horizontal="center"/>
    </xf>
    <xf numFmtId="167" fontId="0" fillId="1" borderId="32" xfId="0" applyNumberFormat="1" applyFill="1" applyBorder="1" applyAlignment="1">
      <alignment horizontal="right"/>
    </xf>
    <xf numFmtId="0" fontId="7" fillId="0" borderId="29" xfId="0" applyFont="1" applyBorder="1"/>
    <xf numFmtId="0" fontId="0" fillId="0" borderId="29" xfId="0" applyBorder="1" applyAlignment="1">
      <alignment horizontal="right"/>
    </xf>
    <xf numFmtId="166" fontId="0" fillId="0" borderId="29" xfId="0" applyNumberFormat="1" applyBorder="1" applyAlignment="1">
      <alignment horizontal="right"/>
    </xf>
    <xf numFmtId="167" fontId="0" fillId="0" borderId="29" xfId="0" applyNumberFormat="1" applyBorder="1" applyAlignment="1">
      <alignment horizontal="right"/>
    </xf>
    <xf numFmtId="165" fontId="1" fillId="0" borderId="29" xfId="0" applyNumberFormat="1" applyFont="1" applyBorder="1" applyAlignment="1">
      <alignment horizontal="center"/>
    </xf>
    <xf numFmtId="0" fontId="1" fillId="0" borderId="29" xfId="0" applyFont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" fontId="11" fillId="0" borderId="38" xfId="5" applyNumberFormat="1" applyFont="1" applyBorder="1" applyAlignment="1">
      <alignment horizontal="left" vertical="center"/>
    </xf>
    <xf numFmtId="4" fontId="11" fillId="0" borderId="7" xfId="5" applyNumberFormat="1" applyFont="1" applyBorder="1" applyAlignment="1">
      <alignment horizontal="left" vertical="center"/>
    </xf>
    <xf numFmtId="4" fontId="11" fillId="0" borderId="0" xfId="5" applyNumberFormat="1" applyFont="1" applyAlignment="1">
      <alignment horizontal="left" vertical="center"/>
    </xf>
    <xf numFmtId="4" fontId="11" fillId="0" borderId="54" xfId="5" applyNumberFormat="1" applyFont="1" applyBorder="1" applyAlignment="1" applyProtection="1">
      <alignment horizontal="left" vertical="center"/>
      <protection locked="0"/>
    </xf>
    <xf numFmtId="4" fontId="18" fillId="0" borderId="0" xfId="5" applyNumberFormat="1" applyFont="1" applyAlignment="1">
      <alignment horizontal="left" vertical="center"/>
    </xf>
    <xf numFmtId="4" fontId="11" fillId="9" borderId="11" xfId="5" applyNumberFormat="1" applyFont="1" applyFill="1" applyBorder="1" applyAlignment="1">
      <alignment horizontal="left" vertical="center"/>
    </xf>
    <xf numFmtId="4" fontId="11" fillId="9" borderId="54" xfId="5" applyNumberFormat="1" applyFont="1" applyFill="1" applyBorder="1" applyAlignment="1" applyProtection="1">
      <alignment horizontal="left" vertical="center"/>
      <protection locked="0"/>
    </xf>
    <xf numFmtId="0" fontId="1" fillId="10" borderId="0" xfId="0" applyFont="1" applyFill="1"/>
    <xf numFmtId="49" fontId="11" fillId="0" borderId="24" xfId="5" applyNumberFormat="1" applyFont="1" applyBorder="1" applyAlignment="1" applyProtection="1">
      <alignment horizontal="right" vertical="center" indent="1"/>
      <protection locked="0"/>
    </xf>
    <xf numFmtId="0" fontId="11" fillId="0" borderId="48" xfId="5" applyFont="1" applyBorder="1" applyAlignment="1">
      <alignment horizontal="left" indent="1"/>
    </xf>
    <xf numFmtId="0" fontId="1" fillId="0" borderId="33" xfId="5" applyBorder="1"/>
    <xf numFmtId="0" fontId="1" fillId="0" borderId="33" xfId="5" applyBorder="1" applyAlignment="1">
      <alignment horizontal="right"/>
    </xf>
    <xf numFmtId="169" fontId="1" fillId="0" borderId="46" xfId="5" applyNumberFormat="1" applyBorder="1" applyAlignment="1">
      <alignment horizontal="right" vertical="center"/>
    </xf>
    <xf numFmtId="172" fontId="21" fillId="8" borderId="46" xfId="5" applyNumberFormat="1" applyFont="1" applyFill="1" applyBorder="1" applyAlignment="1">
      <alignment horizontal="center" vertical="center"/>
    </xf>
    <xf numFmtId="169" fontId="21" fillId="0" borderId="46" xfId="5" applyNumberFormat="1" applyFont="1" applyBorder="1" applyAlignment="1">
      <alignment horizontal="right" vertical="center"/>
    </xf>
    <xf numFmtId="4" fontId="11" fillId="3" borderId="33" xfId="5" applyNumberFormat="1" applyFont="1" applyFill="1" applyBorder="1" applyAlignment="1">
      <alignment horizontal="right" vertical="center"/>
    </xf>
    <xf numFmtId="4" fontId="11" fillId="8" borderId="46" xfId="5" applyNumberFormat="1" applyFont="1" applyFill="1" applyBorder="1" applyAlignment="1" applyProtection="1">
      <alignment horizontal="center" vertical="center"/>
      <protection locked="0"/>
    </xf>
    <xf numFmtId="169" fontId="11" fillId="3" borderId="59" xfId="5" applyNumberFormat="1" applyFont="1" applyFill="1" applyBorder="1" applyAlignment="1">
      <alignment horizontal="right" vertical="center"/>
    </xf>
    <xf numFmtId="169" fontId="11" fillId="3" borderId="35" xfId="5" applyNumberFormat="1" applyFont="1" applyFill="1" applyBorder="1" applyAlignment="1">
      <alignment horizontal="right" vertical="center"/>
    </xf>
    <xf numFmtId="4" fontId="21" fillId="0" borderId="33" xfId="5" applyNumberFormat="1" applyFont="1" applyBorder="1" applyAlignment="1">
      <alignment horizontal="right" vertical="center"/>
    </xf>
    <xf numFmtId="0" fontId="7" fillId="0" borderId="38" xfId="4" applyFont="1" applyBorder="1" applyAlignment="1">
      <alignment horizontal="center"/>
    </xf>
    <xf numFmtId="0" fontId="1" fillId="0" borderId="38" xfId="4" applyBorder="1"/>
    <xf numFmtId="10" fontId="4" fillId="0" borderId="38" xfId="0" applyNumberFormat="1" applyFont="1" applyBorder="1"/>
    <xf numFmtId="0" fontId="0" fillId="6" borderId="3" xfId="0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49" fontId="18" fillId="0" borderId="24" xfId="5" applyNumberFormat="1" applyFont="1" applyBorder="1" applyAlignment="1" applyProtection="1">
      <alignment horizontal="left" vertical="center"/>
      <protection locked="0"/>
    </xf>
    <xf numFmtId="166" fontId="0" fillId="9" borderId="0" xfId="0" applyNumberFormat="1" applyFill="1" applyAlignment="1">
      <alignment horizontal="right"/>
    </xf>
    <xf numFmtId="166" fontId="11" fillId="11" borderId="0" xfId="0" applyNumberFormat="1" applyFont="1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7" borderId="0" xfId="0" applyFill="1"/>
    <xf numFmtId="0" fontId="0" fillId="15" borderId="0" xfId="0" applyFill="1"/>
    <xf numFmtId="166" fontId="0" fillId="16" borderId="0" xfId="0" applyNumberFormat="1" applyFill="1" applyAlignment="1">
      <alignment horizontal="right"/>
    </xf>
    <xf numFmtId="1" fontId="1" fillId="6" borderId="24" xfId="4" applyNumberFormat="1" applyFill="1" applyBorder="1" applyAlignment="1">
      <alignment horizontal="center" vertical="center"/>
    </xf>
    <xf numFmtId="0" fontId="38" fillId="17" borderId="31" xfId="5" applyFont="1" applyFill="1" applyBorder="1" applyAlignment="1">
      <alignment horizontal="center" vertical="center"/>
    </xf>
    <xf numFmtId="49" fontId="1" fillId="17" borderId="0" xfId="5" applyNumberFormat="1" applyFill="1" applyAlignment="1">
      <alignment horizontal="center" vertical="center"/>
    </xf>
    <xf numFmtId="0" fontId="1" fillId="17" borderId="5" xfId="5" applyFill="1" applyBorder="1" applyAlignment="1">
      <alignment horizontal="center" vertical="center"/>
    </xf>
    <xf numFmtId="1" fontId="15" fillId="17" borderId="31" xfId="4" applyNumberFormat="1" applyFont="1" applyFill="1" applyBorder="1" applyAlignment="1">
      <alignment horizontal="center" vertical="center"/>
    </xf>
    <xf numFmtId="165" fontId="14" fillId="17" borderId="7" xfId="5" applyNumberFormat="1" applyFont="1" applyFill="1" applyBorder="1" applyAlignment="1">
      <alignment vertical="center"/>
    </xf>
    <xf numFmtId="1" fontId="1" fillId="17" borderId="6" xfId="5" applyNumberFormat="1" applyFill="1" applyBorder="1" applyAlignment="1">
      <alignment horizontal="center" vertical="center"/>
    </xf>
    <xf numFmtId="0" fontId="1" fillId="17" borderId="8" xfId="5" applyFill="1" applyBorder="1" applyAlignment="1">
      <alignment horizontal="center" vertical="center"/>
    </xf>
    <xf numFmtId="0" fontId="1" fillId="17" borderId="8" xfId="5" applyFill="1" applyBorder="1"/>
    <xf numFmtId="0" fontId="38" fillId="17" borderId="9" xfId="5" applyFont="1" applyFill="1" applyBorder="1" applyAlignment="1">
      <alignment horizontal="center"/>
    </xf>
    <xf numFmtId="165" fontId="5" fillId="17" borderId="11" xfId="5" applyNumberFormat="1" applyFont="1" applyFill="1" applyBorder="1"/>
    <xf numFmtId="1" fontId="5" fillId="17" borderId="11" xfId="5" applyNumberFormat="1" applyFont="1" applyFill="1" applyBorder="1"/>
    <xf numFmtId="0" fontId="5" fillId="17" borderId="11" xfId="5" applyFont="1" applyFill="1" applyBorder="1" applyAlignment="1">
      <alignment horizontal="center"/>
    </xf>
    <xf numFmtId="17" fontId="5" fillId="17" borderId="11" xfId="5" applyNumberFormat="1" applyFont="1" applyFill="1" applyBorder="1"/>
    <xf numFmtId="0" fontId="38" fillId="17" borderId="9" xfId="5" applyFont="1" applyFill="1" applyBorder="1"/>
    <xf numFmtId="0" fontId="38" fillId="17" borderId="2" xfId="5" applyFont="1" applyFill="1" applyBorder="1"/>
    <xf numFmtId="1" fontId="38" fillId="17" borderId="32" xfId="5" applyNumberFormat="1" applyFont="1" applyFill="1" applyBorder="1"/>
    <xf numFmtId="1" fontId="38" fillId="17" borderId="3" xfId="5" applyNumberFormat="1" applyFont="1" applyFill="1" applyBorder="1"/>
    <xf numFmtId="168" fontId="17" fillId="0" borderId="0" xfId="0" applyNumberFormat="1" applyFont="1" applyAlignment="1">
      <alignment horizontal="left"/>
    </xf>
    <xf numFmtId="0" fontId="17" fillId="0" borderId="0" xfId="0" applyFont="1" applyAlignment="1">
      <alignment horizontal="centerContinuous"/>
    </xf>
    <xf numFmtId="0" fontId="17" fillId="0" borderId="0" xfId="0" applyFont="1" applyAlignment="1">
      <alignment horizontal="center"/>
    </xf>
    <xf numFmtId="0" fontId="10" fillId="0" borderId="0" xfId="0" applyFont="1" applyAlignment="1">
      <alignment wrapText="1"/>
    </xf>
    <xf numFmtId="0" fontId="0" fillId="0" borderId="0" xfId="0" applyAlignment="1">
      <alignment wrapText="1"/>
    </xf>
    <xf numFmtId="0" fontId="5" fillId="2" borderId="8" xfId="5" applyFont="1" applyFill="1" applyBorder="1" applyAlignment="1">
      <alignment vertical="center"/>
    </xf>
    <xf numFmtId="0" fontId="18" fillId="7" borderId="20" xfId="5" applyFont="1" applyFill="1" applyBorder="1" applyAlignment="1">
      <alignment horizontal="center"/>
    </xf>
    <xf numFmtId="0" fontId="18" fillId="2" borderId="22" xfId="5" applyFont="1" applyFill="1" applyBorder="1" applyAlignment="1">
      <alignment horizontal="center"/>
    </xf>
    <xf numFmtId="0" fontId="23" fillId="0" borderId="0" xfId="1" applyAlignment="1" applyProtection="1"/>
    <xf numFmtId="166" fontId="11" fillId="0" borderId="29" xfId="5" applyNumberFormat="1" applyFont="1" applyBorder="1" applyAlignment="1">
      <alignment horizontal="right" vertical="center" indent="1"/>
    </xf>
    <xf numFmtId="0" fontId="38" fillId="17" borderId="65" xfId="5" applyFont="1" applyFill="1" applyBorder="1" applyAlignment="1">
      <alignment horizontal="center"/>
    </xf>
    <xf numFmtId="0" fontId="1" fillId="17" borderId="8" xfId="5" applyFill="1" applyBorder="1" applyAlignment="1">
      <alignment horizontal="left" vertical="center"/>
    </xf>
    <xf numFmtId="0" fontId="1" fillId="17" borderId="27" xfId="5" applyFill="1" applyBorder="1" applyAlignment="1">
      <alignment horizontal="center" vertical="center"/>
    </xf>
    <xf numFmtId="0" fontId="17" fillId="0" borderId="0" xfId="0" applyFont="1" applyAlignment="1">
      <alignment horizontal="right" indent="1"/>
    </xf>
    <xf numFmtId="4" fontId="11" fillId="0" borderId="40" xfId="5" applyNumberFormat="1" applyFont="1" applyBorder="1" applyAlignment="1">
      <alignment horizontal="right" vertical="center"/>
    </xf>
    <xf numFmtId="0" fontId="49" fillId="0" borderId="0" xfId="5" applyFont="1" applyAlignment="1">
      <alignment vertical="top"/>
    </xf>
    <xf numFmtId="0" fontId="7" fillId="0" borderId="0" xfId="5" applyFont="1" applyAlignment="1">
      <alignment vertical="top"/>
    </xf>
    <xf numFmtId="0" fontId="9" fillId="0" borderId="0" xfId="5" applyFont="1" applyAlignment="1">
      <alignment vertical="top"/>
    </xf>
    <xf numFmtId="0" fontId="32" fillId="0" borderId="0" xfId="5" applyFont="1" applyAlignment="1">
      <alignment vertical="top"/>
    </xf>
    <xf numFmtId="1" fontId="20" fillId="0" borderId="0" xfId="5" applyNumberFormat="1" applyFont="1" applyAlignment="1">
      <alignment horizontal="center" vertical="center"/>
    </xf>
    <xf numFmtId="166" fontId="21" fillId="0" borderId="61" xfId="5" applyNumberFormat="1" applyFont="1" applyBorder="1" applyAlignment="1">
      <alignment horizontal="right" vertical="center" indent="1"/>
    </xf>
    <xf numFmtId="166" fontId="21" fillId="0" borderId="0" xfId="5" applyNumberFormat="1" applyFont="1" applyAlignment="1">
      <alignment horizontal="right" vertical="center" indent="1"/>
    </xf>
    <xf numFmtId="4" fontId="11" fillId="0" borderId="31" xfId="5" applyNumberFormat="1" applyFont="1" applyBorder="1" applyAlignment="1" applyProtection="1">
      <alignment horizontal="right" vertical="center"/>
      <protection locked="0"/>
    </xf>
    <xf numFmtId="0" fontId="7" fillId="6" borderId="9" xfId="4" applyFont="1" applyFill="1" applyBorder="1" applyAlignment="1">
      <alignment horizontal="center"/>
    </xf>
    <xf numFmtId="0" fontId="7" fillId="6" borderId="3" xfId="4" applyFont="1" applyFill="1" applyBorder="1" applyAlignment="1">
      <alignment horizontal="center" vertical="center"/>
    </xf>
    <xf numFmtId="0" fontId="4" fillId="6" borderId="36" xfId="4" applyFont="1" applyFill="1" applyBorder="1"/>
    <xf numFmtId="49" fontId="11" fillId="0" borderId="48" xfId="5" applyNumberFormat="1" applyFont="1" applyBorder="1" applyAlignment="1" applyProtection="1">
      <alignment horizontal="left" vertical="center" indent="1"/>
      <protection locked="0"/>
    </xf>
    <xf numFmtId="49" fontId="11" fillId="0" borderId="33" xfId="5" applyNumberFormat="1" applyFont="1" applyBorder="1" applyAlignment="1" applyProtection="1">
      <alignment horizontal="left" vertical="center"/>
      <protection locked="0"/>
    </xf>
    <xf numFmtId="49" fontId="11" fillId="0" borderId="33" xfId="5" applyNumberFormat="1" applyFont="1" applyBorder="1" applyAlignment="1" applyProtection="1">
      <alignment horizontal="left" vertical="center" indent="1"/>
      <protection locked="0"/>
    </xf>
    <xf numFmtId="2" fontId="11" fillId="0" borderId="33" xfId="5" applyNumberFormat="1" applyFont="1" applyBorder="1" applyAlignment="1" applyProtection="1">
      <alignment horizontal="left" vertical="center"/>
      <protection locked="0"/>
    </xf>
    <xf numFmtId="0" fontId="9" fillId="0" borderId="33" xfId="5" applyFont="1" applyBorder="1" applyAlignment="1">
      <alignment horizontal="right" indent="1"/>
    </xf>
    <xf numFmtId="0" fontId="7" fillId="0" borderId="33" xfId="5" applyFont="1" applyBorder="1" applyAlignment="1">
      <alignment horizontal="right"/>
    </xf>
    <xf numFmtId="0" fontId="21" fillId="0" borderId="33" xfId="5" applyFont="1" applyBorder="1" applyAlignment="1">
      <alignment horizontal="left"/>
    </xf>
    <xf numFmtId="49" fontId="22" fillId="0" borderId="30" xfId="5" applyNumberFormat="1" applyFont="1" applyBorder="1" applyAlignment="1" applyProtection="1">
      <alignment horizontal="left" vertical="center" wrapText="1"/>
      <protection locked="0"/>
    </xf>
    <xf numFmtId="4" fontId="11" fillId="0" borderId="0" xfId="5" applyNumberFormat="1" applyFont="1" applyAlignment="1" applyProtection="1">
      <alignment horizontal="right" vertical="center"/>
      <protection locked="0"/>
    </xf>
    <xf numFmtId="172" fontId="5" fillId="0" borderId="0" xfId="5" applyNumberFormat="1" applyFont="1" applyAlignment="1" applyProtection="1">
      <alignment horizontal="right" vertical="center"/>
      <protection locked="0"/>
    </xf>
    <xf numFmtId="166" fontId="5" fillId="0" borderId="0" xfId="5" applyNumberFormat="1" applyFont="1" applyAlignment="1">
      <alignment horizontal="left" vertical="center" wrapText="1"/>
    </xf>
    <xf numFmtId="4" fontId="11" fillId="0" borderId="0" xfId="5" applyNumberFormat="1" applyFont="1" applyAlignment="1">
      <alignment horizontal="right" vertical="center"/>
    </xf>
    <xf numFmtId="4" fontId="5" fillId="0" borderId="0" xfId="5" applyNumberFormat="1" applyFont="1" applyAlignment="1">
      <alignment horizontal="right" vertical="center"/>
    </xf>
    <xf numFmtId="166" fontId="21" fillId="0" borderId="0" xfId="5" applyNumberFormat="1" applyFont="1" applyAlignment="1">
      <alignment horizontal="left"/>
    </xf>
    <xf numFmtId="166" fontId="5" fillId="0" borderId="0" xfId="5" applyNumberFormat="1" applyFont="1" applyAlignment="1">
      <alignment horizontal="centerContinuous"/>
    </xf>
    <xf numFmtId="0" fontId="52" fillId="0" borderId="0" xfId="5" applyFont="1" applyAlignment="1">
      <alignment horizontal="right"/>
    </xf>
    <xf numFmtId="49" fontId="11" fillId="0" borderId="53" xfId="5" applyNumberFormat="1" applyFont="1" applyBorder="1" applyAlignment="1" applyProtection="1">
      <alignment horizontal="left" vertical="center" indent="1"/>
      <protection locked="0"/>
    </xf>
    <xf numFmtId="49" fontId="11" fillId="0" borderId="54" xfId="5" applyNumberFormat="1" applyFont="1" applyBorder="1" applyAlignment="1" applyProtection="1">
      <alignment horizontal="center" vertical="center"/>
      <protection locked="0"/>
    </xf>
    <xf numFmtId="4" fontId="11" fillId="0" borderId="54" xfId="5" applyNumberFormat="1" applyFont="1" applyBorder="1" applyAlignment="1" applyProtection="1">
      <alignment horizontal="center" vertical="center"/>
      <protection locked="0"/>
    </xf>
    <xf numFmtId="172" fontId="21" fillId="0" borderId="46" xfId="5" applyNumberFormat="1" applyFont="1" applyBorder="1" applyAlignment="1">
      <alignment horizontal="center" vertical="center"/>
    </xf>
    <xf numFmtId="49" fontId="11" fillId="0" borderId="55" xfId="5" applyNumberFormat="1" applyFont="1" applyBorder="1" applyAlignment="1" applyProtection="1">
      <alignment horizontal="center" vertical="center"/>
      <protection locked="0"/>
    </xf>
    <xf numFmtId="172" fontId="21" fillId="0" borderId="54" xfId="5" applyNumberFormat="1" applyFont="1" applyBorder="1" applyAlignment="1" applyProtection="1">
      <alignment horizontal="center" vertical="center"/>
      <protection locked="0"/>
    </xf>
    <xf numFmtId="49" fontId="11" fillId="0" borderId="44" xfId="5" applyNumberFormat="1" applyFont="1" applyBorder="1" applyAlignment="1" applyProtection="1">
      <alignment horizontal="center" vertical="center"/>
      <protection locked="0"/>
    </xf>
    <xf numFmtId="49" fontId="11" fillId="0" borderId="50" xfId="5" applyNumberFormat="1" applyFont="1" applyBorder="1" applyAlignment="1" applyProtection="1">
      <alignment horizontal="center" vertical="center"/>
      <protection locked="0"/>
    </xf>
    <xf numFmtId="4" fontId="11" fillId="0" borderId="46" xfId="5" applyNumberFormat="1" applyFont="1" applyBorder="1" applyAlignment="1" applyProtection="1">
      <alignment horizontal="center" vertical="center"/>
      <protection locked="0"/>
    </xf>
    <xf numFmtId="49" fontId="5" fillId="0" borderId="19" xfId="5" applyNumberFormat="1" applyFont="1" applyBorder="1" applyAlignment="1" applyProtection="1">
      <alignment horizontal="left" vertical="center" wrapText="1"/>
      <protection locked="0"/>
    </xf>
    <xf numFmtId="172" fontId="5" fillId="0" borderId="31" xfId="5" applyNumberFormat="1" applyFont="1" applyBorder="1" applyAlignment="1">
      <alignment horizontal="right" vertical="center"/>
    </xf>
    <xf numFmtId="169" fontId="18" fillId="0" borderId="2" xfId="5" applyNumberFormat="1" applyFont="1" applyBorder="1" applyAlignment="1">
      <alignment horizontal="right" vertical="center" wrapText="1"/>
    </xf>
    <xf numFmtId="169" fontId="11" fillId="0" borderId="38" xfId="5" applyNumberFormat="1" applyFont="1" applyBorder="1" applyAlignment="1">
      <alignment horizontal="right" vertical="center"/>
    </xf>
    <xf numFmtId="169" fontId="18" fillId="0" borderId="18" xfId="5" applyNumberFormat="1" applyFont="1" applyBorder="1" applyAlignment="1">
      <alignment horizontal="right" vertical="center"/>
    </xf>
    <xf numFmtId="169" fontId="11" fillId="0" borderId="22" xfId="5" applyNumberFormat="1" applyFont="1" applyBorder="1" applyAlignment="1" applyProtection="1">
      <alignment horizontal="right" vertical="center"/>
      <protection locked="0"/>
    </xf>
    <xf numFmtId="169" fontId="18" fillId="0" borderId="0" xfId="5" applyNumberFormat="1" applyFont="1" applyAlignment="1">
      <alignment horizontal="right" vertical="center"/>
    </xf>
    <xf numFmtId="169" fontId="11" fillId="0" borderId="5" xfId="5" applyNumberFormat="1" applyFont="1" applyBorder="1" applyAlignment="1" applyProtection="1">
      <alignment horizontal="right" vertical="center"/>
      <protection locked="0"/>
    </xf>
    <xf numFmtId="169" fontId="18" fillId="0" borderId="3" xfId="5" applyNumberFormat="1" applyFont="1" applyBorder="1" applyAlignment="1">
      <alignment horizontal="right" vertical="center" wrapText="1"/>
    </xf>
    <xf numFmtId="169" fontId="11" fillId="0" borderId="59" xfId="5" applyNumberFormat="1" applyFont="1" applyBorder="1" applyAlignment="1">
      <alignment horizontal="right" vertical="center"/>
    </xf>
    <xf numFmtId="49" fontId="5" fillId="0" borderId="34" xfId="5" applyNumberFormat="1" applyFont="1" applyBorder="1" applyAlignment="1" applyProtection="1">
      <alignment horizontal="left" vertical="center" wrapText="1"/>
      <protection locked="0"/>
    </xf>
    <xf numFmtId="169" fontId="18" fillId="0" borderId="6" xfId="5" applyNumberFormat="1" applyFont="1" applyBorder="1" applyAlignment="1">
      <alignment horizontal="right" vertical="center" wrapText="1"/>
    </xf>
    <xf numFmtId="169" fontId="11" fillId="0" borderId="7" xfId="5" applyNumberFormat="1" applyFont="1" applyBorder="1" applyAlignment="1">
      <alignment horizontal="right" vertical="center"/>
    </xf>
    <xf numFmtId="169" fontId="18" fillId="0" borderId="5" xfId="5" applyNumberFormat="1" applyFont="1" applyBorder="1" applyAlignment="1">
      <alignment horizontal="right" vertical="center"/>
    </xf>
    <xf numFmtId="169" fontId="18" fillId="0" borderId="8" xfId="5" applyNumberFormat="1" applyFont="1" applyBorder="1" applyAlignment="1">
      <alignment horizontal="right" vertical="center" wrapText="1"/>
    </xf>
    <xf numFmtId="169" fontId="11" fillId="0" borderId="35" xfId="5" applyNumberFormat="1" applyFont="1" applyBorder="1" applyAlignment="1">
      <alignment horizontal="right" vertical="center"/>
    </xf>
    <xf numFmtId="49" fontId="11" fillId="0" borderId="52" xfId="5" applyNumberFormat="1" applyFont="1" applyBorder="1" applyAlignment="1" applyProtection="1">
      <alignment horizontal="left" vertical="center" indent="1"/>
      <protection locked="0"/>
    </xf>
    <xf numFmtId="4" fontId="11" fillId="0" borderId="11" xfId="5" applyNumberFormat="1" applyFont="1" applyBorder="1" applyAlignment="1">
      <alignment horizontal="left" vertical="center"/>
    </xf>
    <xf numFmtId="49" fontId="11" fillId="0" borderId="30" xfId="5" applyNumberFormat="1" applyFont="1" applyBorder="1" applyAlignment="1" applyProtection="1">
      <alignment horizontal="left" vertical="center" indent="1"/>
      <protection locked="0"/>
    </xf>
    <xf numFmtId="166" fontId="5" fillId="0" borderId="0" xfId="5" applyNumberFormat="1" applyFont="1"/>
    <xf numFmtId="4" fontId="11" fillId="0" borderId="33" xfId="5" applyNumberFormat="1" applyFont="1" applyBorder="1" applyAlignment="1">
      <alignment horizontal="right" vertical="center"/>
    </xf>
    <xf numFmtId="49" fontId="11" fillId="0" borderId="54" xfId="5" applyNumberFormat="1" applyFont="1" applyBorder="1" applyAlignment="1" applyProtection="1">
      <alignment horizontal="left" vertical="center"/>
      <protection locked="0"/>
    </xf>
    <xf numFmtId="49" fontId="11" fillId="0" borderId="53" xfId="5" applyNumberFormat="1" applyFont="1" applyBorder="1" applyAlignment="1" applyProtection="1">
      <alignment horizontal="center" vertical="center"/>
      <protection locked="0"/>
    </xf>
    <xf numFmtId="49" fontId="11" fillId="0" borderId="56" xfId="5" applyNumberFormat="1" applyFont="1" applyBorder="1" applyAlignment="1" applyProtection="1">
      <alignment horizontal="center" vertical="center"/>
      <protection locked="0"/>
    </xf>
    <xf numFmtId="4" fontId="11" fillId="0" borderId="11" xfId="5" applyNumberFormat="1" applyFont="1" applyBorder="1" applyAlignment="1">
      <alignment horizontal="right" vertical="center"/>
    </xf>
    <xf numFmtId="169" fontId="11" fillId="0" borderId="52" xfId="5" applyNumberFormat="1" applyFont="1" applyBorder="1" applyAlignment="1">
      <alignment horizontal="left" vertical="center"/>
    </xf>
    <xf numFmtId="169" fontId="11" fillId="0" borderId="10" xfId="5" applyNumberFormat="1" applyFont="1" applyBorder="1" applyAlignment="1">
      <alignment horizontal="right" vertical="center"/>
    </xf>
    <xf numFmtId="169" fontId="11" fillId="0" borderId="52" xfId="5" applyNumberFormat="1" applyFont="1" applyBorder="1" applyAlignment="1">
      <alignment horizontal="right" vertical="center"/>
    </xf>
    <xf numFmtId="169" fontId="11" fillId="0" borderId="1" xfId="5" applyNumberFormat="1" applyFont="1" applyBorder="1" applyAlignment="1">
      <alignment horizontal="center" vertical="center"/>
    </xf>
    <xf numFmtId="169" fontId="21" fillId="0" borderId="10" xfId="5" applyNumberFormat="1" applyFont="1" applyBorder="1" applyAlignment="1">
      <alignment horizontal="right" vertical="center"/>
    </xf>
    <xf numFmtId="4" fontId="11" fillId="0" borderId="44" xfId="5" applyNumberFormat="1" applyFont="1" applyBorder="1" applyAlignment="1" applyProtection="1">
      <alignment horizontal="center" vertical="center"/>
      <protection locked="0"/>
    </xf>
    <xf numFmtId="169" fontId="11" fillId="0" borderId="20" xfId="5" applyNumberFormat="1" applyFont="1" applyBorder="1" applyAlignment="1">
      <alignment horizontal="right" vertical="center"/>
    </xf>
    <xf numFmtId="169" fontId="11" fillId="0" borderId="18" xfId="5" applyNumberFormat="1" applyFont="1" applyBorder="1" applyAlignment="1">
      <alignment horizontal="right" vertical="center"/>
    </xf>
    <xf numFmtId="0" fontId="1" fillId="0" borderId="48" xfId="5" applyBorder="1"/>
    <xf numFmtId="2" fontId="1" fillId="0" borderId="35" xfId="5" applyNumberFormat="1" applyBorder="1" applyAlignment="1">
      <alignment horizontal="right"/>
    </xf>
    <xf numFmtId="2" fontId="1" fillId="0" borderId="41" xfId="5" applyNumberFormat="1" applyBorder="1" applyAlignment="1">
      <alignment horizontal="right"/>
    </xf>
    <xf numFmtId="1" fontId="7" fillId="0" borderId="0" xfId="5" applyNumberFormat="1" applyFont="1" applyAlignment="1">
      <alignment horizontal="center" vertical="center"/>
    </xf>
    <xf numFmtId="0" fontId="9" fillId="0" borderId="0" xfId="5" applyFont="1"/>
    <xf numFmtId="0" fontId="14" fillId="0" borderId="0" xfId="5" applyFont="1" applyAlignment="1">
      <alignment horizontal="right" indent="1"/>
    </xf>
    <xf numFmtId="0" fontId="7" fillId="0" borderId="0" xfId="5" applyFont="1" applyAlignment="1">
      <alignment vertical="center"/>
    </xf>
    <xf numFmtId="0" fontId="9" fillId="0" borderId="0" xfId="5" applyFont="1" applyAlignment="1">
      <alignment horizontal="right" indent="1"/>
    </xf>
    <xf numFmtId="49" fontId="11" fillId="0" borderId="33" xfId="5" applyNumberFormat="1" applyFont="1" applyBorder="1" applyAlignment="1" applyProtection="1">
      <alignment horizontal="center" vertical="center"/>
      <protection locked="0"/>
    </xf>
    <xf numFmtId="0" fontId="9" fillId="0" borderId="49" xfId="5" applyFont="1" applyBorder="1" applyAlignment="1">
      <alignment horizontal="left" vertical="center" indent="1"/>
    </xf>
    <xf numFmtId="166" fontId="11" fillId="0" borderId="47" xfId="5" applyNumberFormat="1" applyFont="1" applyBorder="1" applyAlignment="1" applyProtection="1">
      <alignment horizontal="left" vertical="center"/>
      <protection locked="0"/>
    </xf>
    <xf numFmtId="49" fontId="22" fillId="0" borderId="36" xfId="5" applyNumberFormat="1" applyFont="1" applyBorder="1" applyAlignment="1" applyProtection="1">
      <alignment horizontal="left" vertical="center" wrapText="1"/>
      <protection locked="0"/>
    </xf>
    <xf numFmtId="4" fontId="11" fillId="0" borderId="37" xfId="5" applyNumberFormat="1" applyFont="1" applyBorder="1" applyAlignment="1" applyProtection="1">
      <alignment horizontal="right" vertical="center"/>
      <protection locked="0"/>
    </xf>
    <xf numFmtId="172" fontId="5" fillId="0" borderId="37" xfId="5" applyNumberFormat="1" applyFont="1" applyBorder="1" applyAlignment="1" applyProtection="1">
      <alignment horizontal="right" vertical="center"/>
      <protection locked="0"/>
    </xf>
    <xf numFmtId="166" fontId="18" fillId="0" borderId="24" xfId="5" applyNumberFormat="1" applyFont="1" applyBorder="1" applyAlignment="1" applyProtection="1">
      <alignment horizontal="left" vertical="center"/>
      <protection locked="0"/>
    </xf>
    <xf numFmtId="166" fontId="11" fillId="0" borderId="37" xfId="5" applyNumberFormat="1" applyFont="1" applyBorder="1" applyAlignment="1" applyProtection="1">
      <alignment horizontal="left"/>
      <protection locked="0"/>
    </xf>
    <xf numFmtId="166" fontId="5" fillId="0" borderId="24" xfId="5" applyNumberFormat="1" applyFont="1" applyBorder="1" applyAlignment="1">
      <alignment horizontal="right" vertical="center" wrapText="1" indent="1"/>
    </xf>
    <xf numFmtId="4" fontId="11" fillId="0" borderId="37" xfId="5" applyNumberFormat="1" applyFont="1" applyBorder="1" applyAlignment="1">
      <alignment horizontal="right" vertical="center"/>
    </xf>
    <xf numFmtId="172" fontId="5" fillId="0" borderId="37" xfId="5" applyNumberFormat="1" applyFont="1" applyBorder="1" applyAlignment="1">
      <alignment horizontal="right" vertical="center"/>
    </xf>
    <xf numFmtId="49" fontId="11" fillId="0" borderId="45" xfId="5" applyNumberFormat="1" applyFont="1" applyBorder="1" applyAlignment="1" applyProtection="1">
      <alignment horizontal="left" vertical="center" indent="1"/>
      <protection locked="0"/>
    </xf>
    <xf numFmtId="4" fontId="11" fillId="0" borderId="40" xfId="5" applyNumberFormat="1" applyFont="1" applyBorder="1" applyAlignment="1" applyProtection="1">
      <alignment horizontal="right" vertical="center"/>
      <protection locked="0"/>
    </xf>
    <xf numFmtId="172" fontId="5" fillId="0" borderId="40" xfId="5" applyNumberFormat="1" applyFont="1" applyBorder="1" applyAlignment="1" applyProtection="1">
      <alignment horizontal="right" vertical="center"/>
      <protection locked="0"/>
    </xf>
    <xf numFmtId="166" fontId="11" fillId="0" borderId="61" xfId="5" applyNumberFormat="1" applyFont="1" applyBorder="1" applyAlignment="1" applyProtection="1">
      <alignment horizontal="left" vertical="center" indent="1"/>
      <protection locked="0"/>
    </xf>
    <xf numFmtId="166" fontId="11" fillId="0" borderId="40" xfId="5" applyNumberFormat="1" applyFont="1" applyBorder="1" applyAlignment="1" applyProtection="1">
      <alignment horizontal="right" indent="1"/>
      <protection locked="0"/>
    </xf>
    <xf numFmtId="172" fontId="5" fillId="0" borderId="40" xfId="5" applyNumberFormat="1" applyFont="1" applyBorder="1" applyAlignment="1">
      <alignment horizontal="right" vertical="center"/>
    </xf>
    <xf numFmtId="166" fontId="11" fillId="0" borderId="62" xfId="5" applyNumberFormat="1" applyFont="1" applyBorder="1" applyAlignment="1" applyProtection="1">
      <alignment horizontal="left" vertical="center" indent="1"/>
      <protection locked="0"/>
    </xf>
    <xf numFmtId="166" fontId="5" fillId="0" borderId="0" xfId="5" applyNumberFormat="1" applyFont="1" applyAlignment="1">
      <alignment horizontal="left" vertical="center"/>
    </xf>
    <xf numFmtId="172" fontId="5" fillId="0" borderId="33" xfId="5" applyNumberFormat="1" applyFont="1" applyBorder="1" applyAlignment="1" applyProtection="1">
      <alignment horizontal="right" vertical="center"/>
      <protection locked="0"/>
    </xf>
    <xf numFmtId="172" fontId="5" fillId="0" borderId="33" xfId="5" applyNumberFormat="1" applyFont="1" applyBorder="1" applyAlignment="1">
      <alignment horizontal="right" vertical="center"/>
    </xf>
    <xf numFmtId="49" fontId="11" fillId="0" borderId="49" xfId="5" applyNumberFormat="1" applyFont="1" applyBorder="1" applyAlignment="1" applyProtection="1">
      <alignment horizontal="left" vertical="center" indent="1"/>
      <protection locked="0"/>
    </xf>
    <xf numFmtId="49" fontId="5" fillId="0" borderId="36" xfId="5" applyNumberFormat="1" applyFont="1" applyBorder="1" applyAlignment="1" applyProtection="1">
      <alignment horizontal="left" vertical="center" wrapText="1"/>
      <protection locked="0"/>
    </xf>
    <xf numFmtId="166" fontId="18" fillId="0" borderId="24" xfId="5" applyNumberFormat="1" applyFont="1" applyBorder="1" applyAlignment="1">
      <alignment horizontal="left" vertical="center"/>
    </xf>
    <xf numFmtId="166" fontId="5" fillId="0" borderId="24" xfId="5" applyNumberFormat="1" applyFont="1" applyBorder="1" applyAlignment="1">
      <alignment horizontal="left" vertical="center" wrapText="1"/>
    </xf>
    <xf numFmtId="4" fontId="11" fillId="0" borderId="38" xfId="5" applyNumberFormat="1" applyFont="1" applyBorder="1" applyAlignment="1">
      <alignment horizontal="right" vertical="center"/>
    </xf>
    <xf numFmtId="172" fontId="5" fillId="0" borderId="38" xfId="5" applyNumberFormat="1" applyFont="1" applyBorder="1" applyAlignment="1">
      <alignment horizontal="right" vertical="center"/>
    </xf>
    <xf numFmtId="166" fontId="11" fillId="0" borderId="2" xfId="5" applyNumberFormat="1" applyFont="1" applyBorder="1" applyAlignment="1">
      <alignment horizontal="left" vertical="center"/>
    </xf>
    <xf numFmtId="166" fontId="11" fillId="0" borderId="38" xfId="5" applyNumberFormat="1" applyFont="1" applyBorder="1" applyAlignment="1">
      <alignment horizontal="right"/>
    </xf>
    <xf numFmtId="166" fontId="11" fillId="0" borderId="59" xfId="5" applyNumberFormat="1" applyFont="1" applyBorder="1" applyAlignment="1">
      <alignment horizontal="left" vertical="center"/>
    </xf>
    <xf numFmtId="4" fontId="11" fillId="0" borderId="1" xfId="5" applyNumberFormat="1" applyFont="1" applyBorder="1" applyAlignment="1">
      <alignment horizontal="right" vertical="center"/>
    </xf>
    <xf numFmtId="172" fontId="5" fillId="0" borderId="1" xfId="5" applyNumberFormat="1" applyFont="1" applyBorder="1" applyAlignment="1">
      <alignment horizontal="right" vertical="center"/>
    </xf>
    <xf numFmtId="166" fontId="11" fillId="0" borderId="1" xfId="5" applyNumberFormat="1" applyFont="1" applyBorder="1" applyAlignment="1">
      <alignment horizontal="left" vertical="center"/>
    </xf>
    <xf numFmtId="166" fontId="11" fillId="0" borderId="1" xfId="5" applyNumberFormat="1" applyFont="1" applyBorder="1" applyAlignment="1">
      <alignment horizontal="right"/>
    </xf>
    <xf numFmtId="166" fontId="5" fillId="0" borderId="1" xfId="5" applyNumberFormat="1" applyFont="1" applyBorder="1"/>
    <xf numFmtId="166" fontId="11" fillId="0" borderId="41" xfId="5" applyNumberFormat="1" applyFont="1" applyBorder="1" applyAlignment="1">
      <alignment horizontal="left" vertical="center"/>
    </xf>
    <xf numFmtId="49" fontId="11" fillId="0" borderId="0" xfId="5" applyNumberFormat="1" applyFont="1" applyAlignment="1" applyProtection="1">
      <alignment horizontal="center" vertical="center"/>
      <protection locked="0"/>
    </xf>
    <xf numFmtId="49" fontId="11" fillId="0" borderId="59" xfId="5" applyNumberFormat="1" applyFont="1" applyBorder="1" applyAlignment="1" applyProtection="1">
      <alignment horizontal="left" vertical="center" indent="1"/>
      <protection locked="0"/>
    </xf>
    <xf numFmtId="166" fontId="11" fillId="0" borderId="61" xfId="5" applyNumberFormat="1" applyFont="1" applyBorder="1" applyAlignment="1">
      <alignment horizontal="left" vertical="center"/>
    </xf>
    <xf numFmtId="166" fontId="11" fillId="0" borderId="40" xfId="5" applyNumberFormat="1" applyFont="1" applyBorder="1" applyAlignment="1">
      <alignment horizontal="right"/>
    </xf>
    <xf numFmtId="166" fontId="11" fillId="0" borderId="62" xfId="5" applyNumberFormat="1" applyFont="1" applyBorder="1" applyAlignment="1">
      <alignment horizontal="left" vertical="center"/>
    </xf>
    <xf numFmtId="4" fontId="18" fillId="0" borderId="0" xfId="5" applyNumberFormat="1" applyFont="1" applyAlignment="1">
      <alignment horizontal="right" vertical="center"/>
    </xf>
    <xf numFmtId="166" fontId="18" fillId="0" borderId="0" xfId="5" applyNumberFormat="1" applyFont="1" applyAlignment="1">
      <alignment horizontal="left" vertical="center"/>
    </xf>
    <xf numFmtId="4" fontId="11" fillId="0" borderId="54" xfId="5" applyNumberFormat="1" applyFont="1" applyBorder="1" applyAlignment="1" applyProtection="1">
      <alignment horizontal="right" vertical="center"/>
      <protection locked="0"/>
    </xf>
    <xf numFmtId="172" fontId="5" fillId="0" borderId="7" xfId="5" applyNumberFormat="1" applyFont="1" applyBorder="1" applyAlignment="1">
      <alignment horizontal="right" vertical="center"/>
    </xf>
    <xf numFmtId="166" fontId="18" fillId="0" borderId="35" xfId="5" applyNumberFormat="1" applyFont="1" applyBorder="1" applyAlignment="1">
      <alignment horizontal="left" vertical="center"/>
    </xf>
    <xf numFmtId="166" fontId="5" fillId="0" borderId="19" xfId="5" applyNumberFormat="1" applyFont="1" applyBorder="1" applyAlignment="1">
      <alignment horizontal="left" vertical="center" wrapText="1"/>
    </xf>
    <xf numFmtId="166" fontId="11" fillId="0" borderId="35" xfId="5" applyNumberFormat="1" applyFont="1" applyBorder="1" applyAlignment="1" applyProtection="1">
      <alignment horizontal="left" vertical="center"/>
      <protection locked="0"/>
    </xf>
    <xf numFmtId="4" fontId="11" fillId="0" borderId="7" xfId="5" applyNumberFormat="1" applyFont="1" applyBorder="1" applyAlignment="1">
      <alignment horizontal="right" vertical="center"/>
    </xf>
    <xf numFmtId="166" fontId="5" fillId="0" borderId="34" xfId="5" applyNumberFormat="1" applyFont="1" applyBorder="1" applyAlignment="1">
      <alignment horizontal="left" vertical="center" wrapText="1"/>
    </xf>
    <xf numFmtId="49" fontId="11" fillId="0" borderId="63" xfId="5" applyNumberFormat="1" applyFont="1" applyBorder="1" applyAlignment="1" applyProtection="1">
      <alignment horizontal="left" vertical="center" indent="1"/>
      <protection locked="0"/>
    </xf>
    <xf numFmtId="4" fontId="11" fillId="0" borderId="39" xfId="5" applyNumberFormat="1" applyFont="1" applyBorder="1" applyAlignment="1">
      <alignment horizontal="right" vertical="center"/>
    </xf>
    <xf numFmtId="172" fontId="5" fillId="0" borderId="39" xfId="5" applyNumberFormat="1" applyFont="1" applyBorder="1" applyAlignment="1">
      <alignment horizontal="right" vertical="center"/>
    </xf>
    <xf numFmtId="166" fontId="11" fillId="0" borderId="51" xfId="5" applyNumberFormat="1" applyFont="1" applyBorder="1" applyAlignment="1">
      <alignment horizontal="left" vertical="center"/>
    </xf>
    <xf numFmtId="171" fontId="21" fillId="0" borderId="63" xfId="5" applyNumberFormat="1" applyFont="1" applyBorder="1"/>
    <xf numFmtId="166" fontId="11" fillId="0" borderId="0" xfId="5" applyNumberFormat="1" applyFont="1" applyAlignment="1">
      <alignment horizontal="left" vertical="center"/>
    </xf>
    <xf numFmtId="166" fontId="18" fillId="0" borderId="47" xfId="5" applyNumberFormat="1" applyFont="1" applyBorder="1" applyAlignment="1">
      <alignment horizontal="left" vertical="center"/>
    </xf>
    <xf numFmtId="166" fontId="5" fillId="0" borderId="36" xfId="5" applyNumberFormat="1" applyFont="1" applyBorder="1" applyAlignment="1">
      <alignment horizontal="left" vertical="center" wrapText="1"/>
    </xf>
    <xf numFmtId="49" fontId="5" fillId="0" borderId="60" xfId="5" applyNumberFormat="1" applyFont="1" applyBorder="1" applyAlignment="1" applyProtection="1">
      <alignment horizontal="left" vertical="center" wrapText="1"/>
      <protection locked="0"/>
    </xf>
    <xf numFmtId="166" fontId="5" fillId="0" borderId="60" xfId="5" applyNumberFormat="1" applyFont="1" applyBorder="1" applyAlignment="1">
      <alignment horizontal="left" vertical="center" wrapText="1"/>
    </xf>
    <xf numFmtId="171" fontId="21" fillId="0" borderId="45" xfId="5" applyNumberFormat="1" applyFont="1" applyBorder="1" applyAlignment="1">
      <alignment vertical="center"/>
    </xf>
    <xf numFmtId="171" fontId="1" fillId="0" borderId="62" xfId="5" applyNumberFormat="1" applyBorder="1" applyAlignment="1">
      <alignment horizontal="left" vertical="center"/>
    </xf>
    <xf numFmtId="171" fontId="1" fillId="0" borderId="0" xfId="5" applyNumberFormat="1" applyAlignment="1">
      <alignment horizontal="left" vertical="center"/>
    </xf>
    <xf numFmtId="169" fontId="21" fillId="0" borderId="0" xfId="5" applyNumberFormat="1" applyFont="1" applyAlignment="1">
      <alignment horizontal="left" vertical="center"/>
    </xf>
    <xf numFmtId="49" fontId="11" fillId="0" borderId="14" xfId="5" applyNumberFormat="1" applyFont="1" applyBorder="1" applyAlignment="1" applyProtection="1">
      <alignment horizontal="left" vertical="center" indent="1"/>
      <protection locked="0"/>
    </xf>
    <xf numFmtId="4" fontId="11" fillId="0" borderId="64" xfId="5" applyNumberFormat="1" applyFont="1" applyBorder="1" applyAlignment="1" applyProtection="1">
      <alignment horizontal="right" vertical="center"/>
      <protection locked="0"/>
    </xf>
    <xf numFmtId="49" fontId="11" fillId="0" borderId="32" xfId="5" applyNumberFormat="1" applyFont="1" applyBorder="1" applyAlignment="1" applyProtection="1">
      <alignment horizontal="left" vertical="center" indent="1"/>
      <protection locked="0"/>
    </xf>
    <xf numFmtId="171" fontId="1" fillId="0" borderId="49" xfId="5" applyNumberFormat="1" applyBorder="1"/>
    <xf numFmtId="4" fontId="11" fillId="0" borderId="13" xfId="5" applyNumberFormat="1" applyFont="1" applyBorder="1" applyAlignment="1" applyProtection="1">
      <alignment horizontal="left" vertical="center" indent="1"/>
      <protection locked="0"/>
    </xf>
    <xf numFmtId="49" fontId="18" fillId="0" borderId="4" xfId="5" applyNumberFormat="1" applyFont="1" applyBorder="1" applyAlignment="1" applyProtection="1">
      <alignment horizontal="right" vertical="center"/>
      <protection locked="0"/>
    </xf>
    <xf numFmtId="49" fontId="11" fillId="0" borderId="4" xfId="5" applyNumberFormat="1" applyFont="1" applyBorder="1" applyAlignment="1" applyProtection="1">
      <alignment horizontal="left" vertical="center" indent="1"/>
      <protection locked="0"/>
    </xf>
    <xf numFmtId="49" fontId="11" fillId="0" borderId="21" xfId="5" applyNumberFormat="1" applyFont="1" applyBorder="1" applyAlignment="1" applyProtection="1">
      <alignment horizontal="left" vertical="center" indent="1"/>
      <protection locked="0"/>
    </xf>
    <xf numFmtId="49" fontId="11" fillId="0" borderId="13" xfId="5" applyNumberFormat="1" applyFont="1" applyBorder="1" applyAlignment="1" applyProtection="1">
      <alignment horizontal="right" vertical="center"/>
      <protection locked="0"/>
    </xf>
    <xf numFmtId="171" fontId="1" fillId="0" borderId="59" xfId="5" applyNumberFormat="1" applyBorder="1"/>
    <xf numFmtId="49" fontId="11" fillId="0" borderId="19" xfId="5" applyNumberFormat="1" applyFont="1" applyBorder="1" applyAlignment="1" applyProtection="1">
      <alignment horizontal="left" vertical="center" indent="1"/>
      <protection locked="0"/>
    </xf>
    <xf numFmtId="172" fontId="5" fillId="0" borderId="28" xfId="5" applyNumberFormat="1" applyFont="1" applyBorder="1" applyAlignment="1">
      <alignment horizontal="right" vertical="center"/>
    </xf>
    <xf numFmtId="166" fontId="11" fillId="0" borderId="28" xfId="5" applyNumberFormat="1" applyFont="1" applyBorder="1" applyAlignment="1">
      <alignment horizontal="right"/>
    </xf>
    <xf numFmtId="166" fontId="11" fillId="0" borderId="31" xfId="5" applyNumberFormat="1" applyFont="1" applyBorder="1" applyAlignment="1">
      <alignment horizontal="right"/>
    </xf>
    <xf numFmtId="166" fontId="11" fillId="0" borderId="35" xfId="5" applyNumberFormat="1" applyFont="1" applyBorder="1" applyAlignment="1" applyProtection="1">
      <alignment horizontal="left"/>
      <protection locked="0"/>
    </xf>
    <xf numFmtId="49" fontId="11" fillId="0" borderId="25" xfId="5" applyNumberFormat="1" applyFont="1" applyBorder="1" applyAlignment="1" applyProtection="1">
      <alignment horizontal="left" vertical="center" indent="1"/>
      <protection locked="0"/>
    </xf>
    <xf numFmtId="172" fontId="5" fillId="0" borderId="29" xfId="5" applyNumberFormat="1" applyFont="1" applyBorder="1" applyAlignment="1">
      <alignment horizontal="right" vertical="center"/>
    </xf>
    <xf numFmtId="166" fontId="11" fillId="0" borderId="29" xfId="5" applyNumberFormat="1" applyFont="1" applyBorder="1" applyAlignment="1">
      <alignment horizontal="right"/>
    </xf>
    <xf numFmtId="166" fontId="11" fillId="0" borderId="27" xfId="5" applyNumberFormat="1" applyFont="1" applyBorder="1" applyAlignment="1">
      <alignment horizontal="right"/>
    </xf>
    <xf numFmtId="4" fontId="11" fillId="0" borderId="27" xfId="5" applyNumberFormat="1" applyFont="1" applyBorder="1" applyAlignment="1">
      <alignment horizontal="right" vertical="center"/>
    </xf>
    <xf numFmtId="166" fontId="11" fillId="0" borderId="51" xfId="5" applyNumberFormat="1" applyFont="1" applyBorder="1" applyAlignment="1" applyProtection="1">
      <alignment horizontal="left"/>
      <protection locked="0"/>
    </xf>
    <xf numFmtId="172" fontId="42" fillId="0" borderId="0" xfId="5" applyNumberFormat="1" applyFont="1" applyAlignment="1">
      <alignment horizontal="right" vertical="center"/>
    </xf>
    <xf numFmtId="172" fontId="41" fillId="0" borderId="0" xfId="5" applyNumberFormat="1" applyFont="1" applyAlignment="1">
      <alignment horizontal="right" vertical="center"/>
    </xf>
    <xf numFmtId="166" fontId="21" fillId="0" borderId="0" xfId="5" applyNumberFormat="1" applyFont="1" applyAlignment="1">
      <alignment vertical="center"/>
    </xf>
    <xf numFmtId="171" fontId="4" fillId="0" borderId="0" xfId="5" applyNumberFormat="1" applyFont="1"/>
    <xf numFmtId="4" fontId="18" fillId="0" borderId="4" xfId="5" applyNumberFormat="1" applyFont="1" applyBorder="1" applyAlignment="1">
      <alignment horizontal="right" vertical="center"/>
    </xf>
    <xf numFmtId="172" fontId="40" fillId="0" borderId="0" xfId="5" applyNumberFormat="1" applyFont="1" applyAlignment="1">
      <alignment horizontal="right" vertical="center"/>
    </xf>
    <xf numFmtId="0" fontId="18" fillId="0" borderId="0" xfId="5" applyFont="1"/>
    <xf numFmtId="166" fontId="21" fillId="0" borderId="4" xfId="5" applyNumberFormat="1" applyFont="1" applyBorder="1"/>
    <xf numFmtId="0" fontId="1" fillId="0" borderId="4" xfId="5" applyBorder="1"/>
    <xf numFmtId="169" fontId="7" fillId="0" borderId="4" xfId="5" applyNumberFormat="1" applyFont="1" applyBorder="1"/>
    <xf numFmtId="49" fontId="11" fillId="0" borderId="5" xfId="5" applyNumberFormat="1" applyFont="1" applyBorder="1" applyAlignment="1" applyProtection="1">
      <alignment horizontal="right" vertical="center"/>
      <protection locked="0"/>
    </xf>
    <xf numFmtId="49" fontId="11" fillId="0" borderId="0" xfId="5" applyNumberFormat="1" applyFont="1" applyAlignment="1" applyProtection="1">
      <alignment horizontal="left" vertical="center"/>
      <protection locked="0"/>
    </xf>
    <xf numFmtId="49" fontId="11" fillId="0" borderId="66" xfId="5" applyNumberFormat="1" applyFont="1" applyBorder="1" applyAlignment="1" applyProtection="1">
      <alignment horizontal="left" vertical="center" indent="1"/>
      <protection locked="0"/>
    </xf>
    <xf numFmtId="4" fontId="11" fillId="0" borderId="4" xfId="5" applyNumberFormat="1" applyFont="1" applyBorder="1" applyAlignment="1" applyProtection="1">
      <alignment horizontal="left" vertical="center"/>
      <protection locked="0"/>
    </xf>
    <xf numFmtId="172" fontId="5" fillId="0" borderId="21" xfId="5" applyNumberFormat="1" applyFont="1" applyBorder="1" applyAlignment="1" applyProtection="1">
      <alignment horizontal="right" vertical="center"/>
      <protection locked="0"/>
    </xf>
    <xf numFmtId="49" fontId="11" fillId="0" borderId="4" xfId="5" applyNumberFormat="1" applyFont="1" applyBorder="1" applyAlignment="1" applyProtection="1">
      <alignment horizontal="left" vertical="center"/>
      <protection locked="0"/>
    </xf>
    <xf numFmtId="4" fontId="11" fillId="0" borderId="4" xfId="5" applyNumberFormat="1" applyFont="1" applyBorder="1" applyAlignment="1" applyProtection="1">
      <alignment horizontal="center" vertical="center"/>
      <protection locked="0"/>
    </xf>
    <xf numFmtId="169" fontId="21" fillId="0" borderId="67" xfId="5" applyNumberFormat="1" applyFont="1" applyBorder="1" applyAlignment="1">
      <alignment horizontal="right" vertical="center"/>
    </xf>
    <xf numFmtId="49" fontId="11" fillId="0" borderId="66" xfId="5" applyNumberFormat="1" applyFont="1" applyBorder="1" applyAlignment="1" applyProtection="1">
      <alignment horizontal="center" vertical="center"/>
      <protection locked="0"/>
    </xf>
    <xf numFmtId="172" fontId="21" fillId="0" borderId="4" xfId="5" applyNumberFormat="1" applyFont="1" applyBorder="1" applyAlignment="1" applyProtection="1">
      <alignment horizontal="center" vertical="center"/>
      <protection locked="0"/>
    </xf>
    <xf numFmtId="169" fontId="11" fillId="0" borderId="17" xfId="5" applyNumberFormat="1" applyFont="1" applyBorder="1" applyAlignment="1" applyProtection="1">
      <alignment horizontal="right" vertical="center"/>
      <protection locked="0"/>
    </xf>
    <xf numFmtId="49" fontId="11" fillId="0" borderId="4" xfId="5" applyNumberFormat="1" applyFont="1" applyBorder="1" applyAlignment="1" applyProtection="1">
      <alignment horizontal="center" vertical="center"/>
      <protection locked="0"/>
    </xf>
    <xf numFmtId="49" fontId="11" fillId="0" borderId="12" xfId="5" applyNumberFormat="1" applyFont="1" applyBorder="1" applyAlignment="1" applyProtection="1">
      <alignment horizontal="center" vertical="center"/>
      <protection locked="0"/>
    </xf>
    <xf numFmtId="4" fontId="11" fillId="0" borderId="54" xfId="5" applyNumberFormat="1" applyFont="1" applyBorder="1" applyAlignment="1">
      <alignment horizontal="left" vertical="center"/>
    </xf>
    <xf numFmtId="169" fontId="21" fillId="0" borderId="54" xfId="5" applyNumberFormat="1" applyFont="1" applyBorder="1" applyAlignment="1">
      <alignment horizontal="right" vertical="center"/>
    </xf>
    <xf numFmtId="169" fontId="11" fillId="0" borderId="54" xfId="5" applyNumberFormat="1" applyFont="1" applyBorder="1" applyAlignment="1">
      <alignment horizontal="right" vertical="center"/>
    </xf>
    <xf numFmtId="49" fontId="11" fillId="0" borderId="54" xfId="5" applyNumberFormat="1" applyFont="1" applyBorder="1" applyAlignment="1" applyProtection="1">
      <alignment horizontal="left" vertical="center" indent="1"/>
      <protection locked="0"/>
    </xf>
    <xf numFmtId="172" fontId="5" fillId="0" borderId="54" xfId="5" applyNumberFormat="1" applyFont="1" applyBorder="1" applyAlignment="1">
      <alignment horizontal="right" vertical="center"/>
    </xf>
    <xf numFmtId="169" fontId="11" fillId="0" borderId="23" xfId="5" applyNumberFormat="1" applyFont="1" applyBorder="1" applyAlignment="1" applyProtection="1">
      <alignment horizontal="right" vertical="center"/>
      <protection locked="0"/>
    </xf>
    <xf numFmtId="0" fontId="53" fillId="0" borderId="0" xfId="6"/>
    <xf numFmtId="1" fontId="53" fillId="0" borderId="0" xfId="6" applyNumberFormat="1"/>
    <xf numFmtId="1" fontId="20" fillId="0" borderId="0" xfId="6" applyNumberFormat="1" applyFont="1"/>
    <xf numFmtId="0" fontId="53" fillId="1" borderId="2" xfId="6" applyFill="1" applyBorder="1"/>
    <xf numFmtId="49" fontId="53" fillId="0" borderId="0" xfId="6" applyNumberFormat="1"/>
    <xf numFmtId="0" fontId="53" fillId="0" borderId="0" xfId="6" applyAlignment="1">
      <alignment horizontal="center"/>
    </xf>
    <xf numFmtId="49" fontId="53" fillId="0" borderId="0" xfId="6" applyNumberFormat="1" applyAlignment="1">
      <alignment horizontal="center"/>
    </xf>
    <xf numFmtId="166" fontId="53" fillId="1" borderId="12" xfId="6" applyNumberFormat="1" applyFill="1" applyBorder="1"/>
    <xf numFmtId="166" fontId="53" fillId="1" borderId="4" xfId="6" applyNumberFormat="1" applyFill="1" applyBorder="1"/>
    <xf numFmtId="166" fontId="11" fillId="0" borderId="4" xfId="6" applyNumberFormat="1" applyFont="1" applyBorder="1"/>
    <xf numFmtId="0" fontId="11" fillId="1" borderId="4" xfId="6" applyFont="1" applyFill="1" applyBorder="1"/>
    <xf numFmtId="0" fontId="53" fillId="1" borderId="4" xfId="6" applyFill="1" applyBorder="1" applyAlignment="1">
      <alignment horizontal="center"/>
    </xf>
    <xf numFmtId="49" fontId="53" fillId="1" borderId="13" xfId="6" applyNumberFormat="1" applyFill="1" applyBorder="1" applyAlignment="1">
      <alignment horizontal="center"/>
    </xf>
    <xf numFmtId="166" fontId="10" fillId="1" borderId="6" xfId="6" applyNumberFormat="1" applyFont="1" applyFill="1" applyBorder="1"/>
    <xf numFmtId="166" fontId="10" fillId="1" borderId="5" xfId="6" applyNumberFormat="1" applyFont="1" applyFill="1" applyBorder="1"/>
    <xf numFmtId="0" fontId="10" fillId="1" borderId="5" xfId="6" applyFont="1" applyFill="1" applyBorder="1"/>
    <xf numFmtId="0" fontId="53" fillId="1" borderId="5" xfId="6" applyFill="1" applyBorder="1" applyAlignment="1">
      <alignment horizontal="center"/>
    </xf>
    <xf numFmtId="0" fontId="53" fillId="1" borderId="7" xfId="6" applyFill="1" applyBorder="1" applyAlignment="1">
      <alignment horizontal="center"/>
    </xf>
    <xf numFmtId="0" fontId="7" fillId="1" borderId="2" xfId="6" applyFont="1" applyFill="1" applyBorder="1"/>
    <xf numFmtId="166" fontId="53" fillId="0" borderId="0" xfId="6" applyNumberFormat="1" applyAlignment="1">
      <alignment horizontal="right"/>
    </xf>
    <xf numFmtId="0" fontId="53" fillId="0" borderId="0" xfId="6" applyAlignment="1">
      <alignment horizontal="left"/>
    </xf>
    <xf numFmtId="1" fontId="53" fillId="0" borderId="0" xfId="6" applyNumberFormat="1" applyAlignment="1">
      <alignment horizontal="center"/>
    </xf>
    <xf numFmtId="166" fontId="53" fillId="1" borderId="12" xfId="6" applyNumberFormat="1" applyFill="1" applyBorder="1" applyAlignment="1">
      <alignment horizontal="right"/>
    </xf>
    <xf numFmtId="166" fontId="53" fillId="1" borderId="4" xfId="6" applyNumberFormat="1" applyFill="1" applyBorder="1" applyAlignment="1">
      <alignment horizontal="right"/>
    </xf>
    <xf numFmtId="166" fontId="53" fillId="0" borderId="4" xfId="6" applyNumberFormat="1" applyBorder="1" applyAlignment="1">
      <alignment horizontal="right"/>
    </xf>
    <xf numFmtId="0" fontId="53" fillId="1" borderId="4" xfId="6" applyFill="1" applyBorder="1" applyAlignment="1">
      <alignment horizontal="left"/>
    </xf>
    <xf numFmtId="1" fontId="53" fillId="1" borderId="4" xfId="6" applyNumberFormat="1" applyFill="1" applyBorder="1" applyAlignment="1">
      <alignment horizontal="center"/>
    </xf>
    <xf numFmtId="170" fontId="53" fillId="1" borderId="9" xfId="6" applyNumberFormat="1" applyFill="1" applyBorder="1" applyAlignment="1">
      <alignment horizontal="right"/>
    </xf>
    <xf numFmtId="167" fontId="53" fillId="1" borderId="9" xfId="6" applyNumberFormat="1" applyFill="1" applyBorder="1" applyAlignment="1">
      <alignment horizontal="right"/>
    </xf>
    <xf numFmtId="166" fontId="53" fillId="1" borderId="9" xfId="6" applyNumberFormat="1" applyFill="1" applyBorder="1" applyAlignment="1">
      <alignment horizontal="right"/>
    </xf>
    <xf numFmtId="0" fontId="53" fillId="1" borderId="10" xfId="6" applyFill="1" applyBorder="1" applyAlignment="1">
      <alignment horizontal="right"/>
    </xf>
    <xf numFmtId="0" fontId="53" fillId="1" borderId="11" xfId="6" applyFill="1" applyBorder="1" applyAlignment="1">
      <alignment horizontal="left"/>
    </xf>
    <xf numFmtId="0" fontId="53" fillId="1" borderId="9" xfId="6" applyFill="1" applyBorder="1" applyAlignment="1">
      <alignment horizontal="center"/>
    </xf>
    <xf numFmtId="165" fontId="53" fillId="1" borderId="9" xfId="6" applyNumberFormat="1" applyFill="1" applyBorder="1" applyAlignment="1">
      <alignment horizontal="center"/>
    </xf>
    <xf numFmtId="0" fontId="7" fillId="1" borderId="10" xfId="6" applyFont="1" applyFill="1" applyBorder="1"/>
    <xf numFmtId="173" fontId="53" fillId="1" borderId="9" xfId="6" applyNumberFormat="1" applyFill="1" applyBorder="1" applyAlignment="1">
      <alignment horizontal="right"/>
    </xf>
    <xf numFmtId="0" fontId="8" fillId="1" borderId="9" xfId="6" applyFont="1" applyFill="1" applyBorder="1" applyAlignment="1">
      <alignment horizontal="center" vertical="center"/>
    </xf>
    <xf numFmtId="0" fontId="8" fillId="1" borderId="8" xfId="6" applyFont="1" applyFill="1" applyBorder="1" applyAlignment="1">
      <alignment horizontal="center"/>
    </xf>
    <xf numFmtId="0" fontId="2" fillId="1" borderId="5" xfId="6" applyFont="1" applyFill="1" applyBorder="1" applyAlignment="1">
      <alignment horizontal="right" vertical="center"/>
    </xf>
    <xf numFmtId="0" fontId="2" fillId="1" borderId="7" xfId="6" applyFont="1" applyFill="1" applyBorder="1" applyAlignment="1">
      <alignment vertical="center"/>
    </xf>
    <xf numFmtId="0" fontId="2" fillId="1" borderId="8" xfId="6" applyFont="1" applyFill="1" applyBorder="1" applyAlignment="1">
      <alignment vertical="center"/>
    </xf>
    <xf numFmtId="0" fontId="53" fillId="1" borderId="6" xfId="6" applyFill="1" applyBorder="1" applyAlignment="1">
      <alignment horizontal="center" vertical="center"/>
    </xf>
    <xf numFmtId="165" fontId="53" fillId="1" borderId="7" xfId="6" applyNumberFormat="1" applyFill="1" applyBorder="1" applyAlignment="1">
      <alignment horizontal="right" vertical="center"/>
    </xf>
    <xf numFmtId="0" fontId="7" fillId="1" borderId="6" xfId="6" applyFont="1" applyFill="1" applyBorder="1" applyAlignment="1">
      <alignment horizontal="center" vertical="center"/>
    </xf>
    <xf numFmtId="0" fontId="21" fillId="2" borderId="22" xfId="5" applyFont="1" applyFill="1" applyBorder="1" applyAlignment="1">
      <alignment horizontal="center" vertical="center"/>
    </xf>
    <xf numFmtId="0" fontId="1" fillId="0" borderId="16" xfId="5" applyBorder="1" applyAlignment="1">
      <alignment horizontal="center" vertical="center"/>
    </xf>
    <xf numFmtId="0" fontId="5" fillId="2" borderId="7" xfId="5" applyFont="1" applyFill="1" applyBorder="1" applyAlignment="1">
      <alignment vertical="center"/>
    </xf>
    <xf numFmtId="0" fontId="1" fillId="0" borderId="13" xfId="5" applyBorder="1" applyAlignment="1">
      <alignment vertical="center"/>
    </xf>
    <xf numFmtId="0" fontId="53" fillId="0" borderId="33" xfId="6" applyBorder="1" applyAlignment="1">
      <alignment horizontal="left" vertical="center" wrapText="1"/>
    </xf>
    <xf numFmtId="0" fontId="53" fillId="0" borderId="33" xfId="6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0" fillId="0" borderId="0" xfId="0"/>
    <xf numFmtId="0" fontId="39" fillId="0" borderId="0" xfId="5" applyFont="1" applyAlignment="1">
      <alignment horizontal="center" vertical="center"/>
    </xf>
    <xf numFmtId="0" fontId="39" fillId="0" borderId="0" xfId="4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2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vertical="center"/>
    </xf>
    <xf numFmtId="0" fontId="1" fillId="0" borderId="0" xfId="0" quotePrefix="1" applyFont="1"/>
    <xf numFmtId="0" fontId="17" fillId="0" borderId="0" xfId="0" quotePrefix="1" applyFont="1"/>
  </cellXfs>
  <cellStyles count="7">
    <cellStyle name="Link" xfId="1" builtinId="8"/>
    <cellStyle name="Sachkonten" xfId="2" xr:uid="{00000000-0005-0000-0000-000001000000}"/>
    <cellStyle name="Standard" xfId="0" builtinId="0"/>
    <cellStyle name="Standard 2" xfId="3" xr:uid="{00000000-0005-0000-0000-000003000000}"/>
    <cellStyle name="Standard 2 2" xfId="4" xr:uid="{00000000-0005-0000-0000-000004000000}"/>
    <cellStyle name="Standard 2 3" xfId="6" xr:uid="{F680287C-5053-42B5-BC3B-00A4669EE4D9}"/>
    <cellStyle name="Standard 3" xfId="5" xr:uid="{00000000-0005-0000-0000-000005000000}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221B2-307E-49DC-826F-ADC19AD89A47}">
  <sheetPr codeName="Tabelle1"/>
  <dimension ref="A1:Q598"/>
  <sheetViews>
    <sheetView tabSelected="1" zoomScaleNormal="100" zoomScaleSheetLayoutView="100" workbookViewId="0">
      <selection activeCell="E2" sqref="E2"/>
    </sheetView>
  </sheetViews>
  <sheetFormatPr baseColWidth="10" defaultRowHeight="12.75"/>
  <cols>
    <col min="1" max="1" width="2.5703125" style="2" customWidth="1"/>
    <col min="2" max="2" width="6.42578125" style="9" customWidth="1"/>
    <col min="3" max="3" width="5.5703125" style="7" customWidth="1"/>
    <col min="4" max="4" width="26.42578125" style="9" customWidth="1"/>
    <col min="5" max="5" width="10.7109375" style="4" customWidth="1"/>
    <col min="6" max="6" width="10.28515625" style="9" customWidth="1"/>
    <col min="7" max="7" width="8.7109375" style="7" customWidth="1"/>
    <col min="8" max="8" width="21" style="7" customWidth="1"/>
    <col min="9" max="9" width="28.5703125" style="7" customWidth="1"/>
    <col min="10" max="10" width="18" style="9" customWidth="1"/>
    <col min="11" max="11" width="24.7109375" style="9" customWidth="1"/>
    <col min="12" max="12" width="2.5703125" style="9" customWidth="1"/>
    <col min="13" max="13" width="2.7109375" style="341" customWidth="1"/>
    <col min="14" max="14" width="11.5703125" customWidth="1"/>
    <col min="15" max="15" width="61.28515625" customWidth="1"/>
  </cols>
  <sheetData>
    <row r="1" spans="1:17" ht="30.6" customHeight="1">
      <c r="A1" s="316">
        <v>0</v>
      </c>
      <c r="B1" s="317"/>
      <c r="C1" s="316">
        <v>32</v>
      </c>
      <c r="D1" s="318" t="s">
        <v>363</v>
      </c>
      <c r="E1" s="154">
        <v>2025</v>
      </c>
      <c r="F1" s="322">
        <v>0</v>
      </c>
      <c r="G1" s="476" t="s">
        <v>409</v>
      </c>
      <c r="H1" s="319" t="s">
        <v>364</v>
      </c>
      <c r="I1" s="320" t="s">
        <v>367</v>
      </c>
      <c r="J1" s="465"/>
      <c r="K1" s="320" t="s">
        <v>372</v>
      </c>
      <c r="L1" s="321" t="s">
        <v>14</v>
      </c>
      <c r="M1" s="338"/>
      <c r="N1" s="339"/>
    </row>
    <row r="2" spans="1:17" ht="25.9" customHeight="1" thickBot="1">
      <c r="A2" s="322" t="s">
        <v>9</v>
      </c>
      <c r="B2" s="323" t="s">
        <v>442</v>
      </c>
      <c r="C2" s="323" t="s">
        <v>11</v>
      </c>
      <c r="D2" s="323" t="s">
        <v>365</v>
      </c>
      <c r="E2" s="324" t="s">
        <v>12</v>
      </c>
      <c r="F2" s="518" t="s">
        <v>366</v>
      </c>
      <c r="G2" s="325"/>
      <c r="H2" s="326"/>
      <c r="I2" s="320" t="s">
        <v>372</v>
      </c>
      <c r="J2" s="327"/>
      <c r="K2" s="328"/>
      <c r="L2" s="462" t="s">
        <v>13</v>
      </c>
      <c r="M2" s="1"/>
    </row>
    <row r="3" spans="1:17" ht="13.5" hidden="1" thickBot="1">
      <c r="A3" s="364"/>
      <c r="B3" s="365"/>
      <c r="C3" s="365"/>
      <c r="D3" s="366"/>
      <c r="E3" s="366"/>
      <c r="F3" s="367"/>
      <c r="G3" s="367"/>
      <c r="H3" s="368"/>
      <c r="I3" s="369"/>
      <c r="J3" s="337"/>
      <c r="K3" s="321"/>
      <c r="L3" s="462"/>
      <c r="M3" s="1"/>
    </row>
    <row r="4" spans="1:17" ht="13.5" hidden="1" thickBot="1">
      <c r="A4" s="364"/>
      <c r="B4" s="365"/>
      <c r="C4" s="365"/>
      <c r="D4" s="366"/>
      <c r="E4" s="366"/>
      <c r="F4" s="367"/>
      <c r="G4" s="367"/>
      <c r="H4" s="368"/>
      <c r="I4" s="369"/>
      <c r="J4" s="337"/>
      <c r="K4" s="321"/>
      <c r="L4" s="462"/>
      <c r="M4" s="1"/>
    </row>
    <row r="5" spans="1:17" ht="13.5" thickBot="1">
      <c r="A5" s="330"/>
      <c r="B5" s="331"/>
      <c r="C5" s="332">
        <v>1</v>
      </c>
      <c r="D5" s="333" t="s">
        <v>351</v>
      </c>
      <c r="E5" s="349"/>
      <c r="F5" s="334"/>
      <c r="G5" s="517" t="s">
        <v>430</v>
      </c>
      <c r="H5" s="335" t="s">
        <v>515</v>
      </c>
      <c r="I5" s="519" t="s">
        <v>514</v>
      </c>
      <c r="J5" s="327" t="s">
        <v>517</v>
      </c>
      <c r="K5" s="337"/>
      <c r="L5" s="462"/>
      <c r="M5" s="1"/>
    </row>
    <row r="6" spans="1:17" ht="15.6" customHeight="1">
      <c r="A6" s="329"/>
      <c r="B6" s="8">
        <v>100</v>
      </c>
      <c r="D6" s="9" t="s">
        <v>3</v>
      </c>
      <c r="E6" s="345" t="s">
        <v>370</v>
      </c>
      <c r="F6" s="5"/>
      <c r="G6" s="342" t="s">
        <v>87</v>
      </c>
      <c r="H6" s="343" t="s">
        <v>368</v>
      </c>
      <c r="I6" s="343"/>
      <c r="J6" s="10"/>
      <c r="K6" s="4"/>
      <c r="L6" s="462" t="s">
        <v>13</v>
      </c>
      <c r="M6" s="1"/>
      <c r="N6" s="127" t="s">
        <v>422</v>
      </c>
      <c r="O6" s="127"/>
      <c r="P6" s="127"/>
      <c r="Q6" s="127"/>
    </row>
    <row r="7" spans="1:17" ht="13.5" thickBot="1">
      <c r="A7" s="329"/>
      <c r="B7" s="8">
        <v>101</v>
      </c>
      <c r="D7" s="3" t="s">
        <v>2</v>
      </c>
      <c r="E7" s="345" t="s">
        <v>371</v>
      </c>
      <c r="F7" s="5"/>
      <c r="G7" s="342" t="s">
        <v>88</v>
      </c>
      <c r="H7" s="343" t="s">
        <v>369</v>
      </c>
      <c r="I7" s="343"/>
      <c r="J7" s="10"/>
      <c r="K7" s="4"/>
      <c r="L7" s="463"/>
      <c r="M7" s="1"/>
      <c r="N7" s="155" t="s">
        <v>143</v>
      </c>
      <c r="O7" s="127" t="s">
        <v>423</v>
      </c>
      <c r="P7" s="127"/>
      <c r="Q7" s="127"/>
    </row>
    <row r="8" spans="1:17" ht="13.5" thickBot="1">
      <c r="A8" s="330"/>
      <c r="B8" s="331"/>
      <c r="C8" s="332">
        <v>2</v>
      </c>
      <c r="D8" s="333" t="s">
        <v>200</v>
      </c>
      <c r="E8" s="349"/>
      <c r="F8" s="334"/>
      <c r="G8" s="334"/>
      <c r="H8" s="335"/>
      <c r="I8" s="336"/>
      <c r="J8" s="337"/>
      <c r="K8" s="337"/>
      <c r="L8" s="340"/>
      <c r="M8" s="1"/>
      <c r="N8" s="155" t="s">
        <v>89</v>
      </c>
      <c r="O8" s="127" t="s">
        <v>216</v>
      </c>
      <c r="P8" s="127"/>
      <c r="Q8" s="127"/>
    </row>
    <row r="9" spans="1:17">
      <c r="A9" s="329"/>
      <c r="B9" s="8">
        <v>210</v>
      </c>
      <c r="D9" s="346" t="s">
        <v>382</v>
      </c>
      <c r="E9" s="345" t="s">
        <v>390</v>
      </c>
      <c r="F9" s="5"/>
      <c r="G9" s="342" t="s">
        <v>87</v>
      </c>
      <c r="H9" s="343" t="s">
        <v>390</v>
      </c>
      <c r="I9" s="343"/>
      <c r="J9" s="10"/>
      <c r="K9" s="4"/>
      <c r="L9" s="340"/>
      <c r="M9" s="1"/>
      <c r="N9" s="155" t="s">
        <v>215</v>
      </c>
      <c r="O9" s="127" t="s">
        <v>424</v>
      </c>
      <c r="P9" s="127"/>
      <c r="Q9" s="127"/>
    </row>
    <row r="10" spans="1:17" ht="13.5" thickBot="1">
      <c r="A10" s="329"/>
      <c r="B10" s="8">
        <v>220</v>
      </c>
      <c r="D10" s="347" t="s">
        <v>383</v>
      </c>
      <c r="E10" s="345" t="s">
        <v>391</v>
      </c>
      <c r="F10" s="5"/>
      <c r="G10" s="342" t="s">
        <v>87</v>
      </c>
      <c r="H10" s="343" t="s">
        <v>391</v>
      </c>
      <c r="I10" s="343"/>
      <c r="J10" s="10"/>
      <c r="K10" s="4"/>
      <c r="L10" s="340"/>
      <c r="M10" s="1"/>
      <c r="N10" s="155" t="s">
        <v>149</v>
      </c>
      <c r="O10" s="127" t="s">
        <v>457</v>
      </c>
      <c r="P10" s="127"/>
      <c r="Q10" s="127"/>
    </row>
    <row r="11" spans="1:17" ht="13.5" thickBot="1">
      <c r="A11" s="330"/>
      <c r="B11" s="331"/>
      <c r="C11" s="332">
        <v>3</v>
      </c>
      <c r="D11" s="333" t="s">
        <v>226</v>
      </c>
      <c r="E11" s="349"/>
      <c r="F11" s="334"/>
      <c r="G11" s="334"/>
      <c r="H11" s="335"/>
      <c r="I11" s="336"/>
      <c r="J11" s="337"/>
      <c r="K11" s="337"/>
      <c r="L11" s="340"/>
      <c r="M11" s="1"/>
      <c r="N11" s="155" t="s">
        <v>9</v>
      </c>
      <c r="O11" s="127" t="s">
        <v>220</v>
      </c>
      <c r="P11" s="127"/>
      <c r="Q11" s="127"/>
    </row>
    <row r="12" spans="1:17">
      <c r="A12" s="329"/>
      <c r="B12" s="8">
        <v>310</v>
      </c>
      <c r="D12" s="346" t="s">
        <v>384</v>
      </c>
      <c r="E12" s="345" t="s">
        <v>392</v>
      </c>
      <c r="F12" s="5"/>
      <c r="G12" s="342" t="s">
        <v>87</v>
      </c>
      <c r="H12" s="343" t="s">
        <v>392</v>
      </c>
      <c r="I12" s="343"/>
      <c r="J12" s="10"/>
      <c r="K12" s="4"/>
      <c r="L12" s="340"/>
      <c r="M12" s="1"/>
      <c r="N12" s="373" t="s">
        <v>425</v>
      </c>
      <c r="O12" s="127" t="s">
        <v>446</v>
      </c>
      <c r="P12" s="127"/>
      <c r="Q12" s="127"/>
    </row>
    <row r="13" spans="1:17" ht="13.5" thickBot="1">
      <c r="A13" s="329"/>
      <c r="B13" s="8">
        <v>320</v>
      </c>
      <c r="D13" s="347" t="s">
        <v>385</v>
      </c>
      <c r="E13" s="345" t="s">
        <v>393</v>
      </c>
      <c r="F13" s="5"/>
      <c r="G13" s="342" t="s">
        <v>88</v>
      </c>
      <c r="H13" s="343" t="s">
        <v>393</v>
      </c>
      <c r="I13" s="343"/>
      <c r="J13" s="10"/>
      <c r="K13" s="4"/>
      <c r="L13" s="340"/>
      <c r="M13" s="1"/>
      <c r="N13" s="373" t="s">
        <v>408</v>
      </c>
      <c r="O13" s="127" t="s">
        <v>458</v>
      </c>
      <c r="P13" s="127"/>
      <c r="Q13" s="127"/>
    </row>
    <row r="14" spans="1:17" ht="13.5" thickBot="1">
      <c r="A14" s="330"/>
      <c r="B14" s="331"/>
      <c r="C14" s="332">
        <v>4</v>
      </c>
      <c r="D14" s="333" t="s">
        <v>201</v>
      </c>
      <c r="E14" s="349"/>
      <c r="F14" s="334"/>
      <c r="G14" s="334"/>
      <c r="H14" s="335"/>
      <c r="I14" s="336"/>
      <c r="J14" s="337"/>
      <c r="K14" s="337"/>
      <c r="L14" s="340"/>
      <c r="M14" s="1"/>
      <c r="N14" s="155" t="s">
        <v>142</v>
      </c>
      <c r="O14" s="127" t="s">
        <v>426</v>
      </c>
      <c r="P14" s="127"/>
      <c r="Q14" s="127"/>
    </row>
    <row r="15" spans="1:17">
      <c r="A15" s="329"/>
      <c r="B15" s="8">
        <v>410</v>
      </c>
      <c r="D15" s="346" t="s">
        <v>386</v>
      </c>
      <c r="E15" s="345" t="s">
        <v>394</v>
      </c>
      <c r="F15" s="5"/>
      <c r="G15" s="342" t="s">
        <v>87</v>
      </c>
      <c r="H15" s="343" t="s">
        <v>394</v>
      </c>
      <c r="I15" s="343"/>
      <c r="J15" s="10"/>
      <c r="K15" s="4"/>
      <c r="L15" s="340"/>
      <c r="M15" s="1"/>
      <c r="N15" s="155" t="s">
        <v>160</v>
      </c>
      <c r="O15" s="127" t="s">
        <v>529</v>
      </c>
    </row>
    <row r="16" spans="1:17" ht="13.5" thickBot="1">
      <c r="A16" s="329"/>
      <c r="B16" s="8">
        <v>420</v>
      </c>
      <c r="D16" s="347" t="s">
        <v>387</v>
      </c>
      <c r="E16" s="345" t="s">
        <v>395</v>
      </c>
      <c r="F16" s="5"/>
      <c r="G16" s="342" t="s">
        <v>88</v>
      </c>
      <c r="H16" s="343" t="s">
        <v>395</v>
      </c>
      <c r="I16" s="343"/>
      <c r="J16" s="10"/>
      <c r="K16" s="4"/>
      <c r="L16" s="340"/>
      <c r="M16" s="1"/>
      <c r="N16" s="169" t="s">
        <v>428</v>
      </c>
      <c r="O16" s="174" t="s">
        <v>427</v>
      </c>
      <c r="P16" s="127"/>
      <c r="Q16" s="127"/>
    </row>
    <row r="17" spans="1:15" ht="13.5" thickBot="1">
      <c r="A17" s="330"/>
      <c r="B17" s="331"/>
      <c r="C17" s="332">
        <v>5</v>
      </c>
      <c r="D17" s="333" t="s">
        <v>227</v>
      </c>
      <c r="E17" s="349"/>
      <c r="F17" s="334"/>
      <c r="G17" s="334"/>
      <c r="H17" s="335"/>
      <c r="I17" s="336"/>
      <c r="J17" s="337"/>
      <c r="K17" s="337"/>
      <c r="L17" s="340"/>
      <c r="M17" s="1"/>
    </row>
    <row r="18" spans="1:15">
      <c r="A18" s="329"/>
      <c r="B18" s="8">
        <v>510</v>
      </c>
      <c r="D18" s="346" t="s">
        <v>388</v>
      </c>
      <c r="E18" s="345" t="s">
        <v>396</v>
      </c>
      <c r="F18" s="5"/>
      <c r="G18" s="342" t="s">
        <v>87</v>
      </c>
      <c r="H18" s="343" t="s">
        <v>396</v>
      </c>
      <c r="I18" s="343"/>
      <c r="J18" s="10"/>
      <c r="K18" s="4"/>
      <c r="L18" s="340"/>
      <c r="M18" s="1"/>
      <c r="N18" t="s">
        <v>429</v>
      </c>
    </row>
    <row r="19" spans="1:15" ht="13.5" thickBot="1">
      <c r="A19" s="329"/>
      <c r="B19" s="8">
        <v>520</v>
      </c>
      <c r="D19" s="347" t="s">
        <v>389</v>
      </c>
      <c r="E19" s="345" t="s">
        <v>397</v>
      </c>
      <c r="F19" s="5"/>
      <c r="G19" s="342" t="s">
        <v>88</v>
      </c>
      <c r="H19" s="343" t="s">
        <v>397</v>
      </c>
      <c r="I19" s="343"/>
      <c r="J19" s="10"/>
      <c r="K19" s="4"/>
      <c r="L19" s="340"/>
      <c r="M19" s="1"/>
      <c r="N19" t="s">
        <v>431</v>
      </c>
    </row>
    <row r="20" spans="1:15" ht="13.5" thickBot="1">
      <c r="A20" s="330"/>
      <c r="B20" s="331"/>
      <c r="C20" s="332">
        <v>6</v>
      </c>
      <c r="D20" s="333" t="s">
        <v>375</v>
      </c>
      <c r="E20" s="349"/>
      <c r="F20" s="334"/>
      <c r="G20" s="334"/>
      <c r="H20" s="335"/>
      <c r="I20" s="336"/>
      <c r="J20" s="337"/>
      <c r="K20" s="337"/>
      <c r="L20" s="340"/>
      <c r="M20" s="1"/>
    </row>
    <row r="21" spans="1:15">
      <c r="A21" s="348"/>
      <c r="B21" s="8">
        <v>600</v>
      </c>
      <c r="D21" s="9" t="s">
        <v>3</v>
      </c>
      <c r="E21" s="345" t="s">
        <v>398</v>
      </c>
      <c r="F21" s="5"/>
      <c r="G21" s="342" t="s">
        <v>87</v>
      </c>
      <c r="H21" s="343" t="s">
        <v>398</v>
      </c>
      <c r="I21" s="343"/>
      <c r="J21" s="10"/>
      <c r="K21" s="4"/>
      <c r="L21" s="340"/>
      <c r="M21" s="1"/>
      <c r="N21" s="449" t="s">
        <v>443</v>
      </c>
    </row>
    <row r="22" spans="1:15" ht="13.5" thickBot="1">
      <c r="A22" s="348"/>
      <c r="B22" s="8">
        <v>601</v>
      </c>
      <c r="D22" s="3" t="s">
        <v>2</v>
      </c>
      <c r="E22" s="345" t="s">
        <v>399</v>
      </c>
      <c r="F22" s="5"/>
      <c r="G22" s="342" t="s">
        <v>88</v>
      </c>
      <c r="H22" s="343" t="s">
        <v>399</v>
      </c>
      <c r="I22" s="343"/>
      <c r="J22" s="10"/>
      <c r="K22" s="4"/>
      <c r="L22" s="464"/>
      <c r="M22" s="1"/>
      <c r="N22" s="16" t="s">
        <v>444</v>
      </c>
    </row>
    <row r="23" spans="1:15" ht="13.5" thickBot="1">
      <c r="A23" s="330"/>
      <c r="B23" s="331"/>
      <c r="C23" s="332">
        <v>7</v>
      </c>
      <c r="D23" s="333" t="s">
        <v>198</v>
      </c>
      <c r="E23" s="349"/>
      <c r="F23" s="334"/>
      <c r="G23" s="334"/>
      <c r="H23" s="335"/>
      <c r="I23" s="336"/>
      <c r="J23" s="337"/>
      <c r="K23" s="337"/>
      <c r="L23" s="340"/>
      <c r="M23" s="1"/>
      <c r="N23" s="16" t="s">
        <v>445</v>
      </c>
    </row>
    <row r="24" spans="1:15" ht="14.25" customHeight="1">
      <c r="A24" s="348"/>
      <c r="B24" s="8">
        <v>701</v>
      </c>
      <c r="D24" s="346" t="s">
        <v>373</v>
      </c>
      <c r="E24" s="345" t="s">
        <v>400</v>
      </c>
      <c r="F24" s="5"/>
      <c r="G24" s="342" t="s">
        <v>87</v>
      </c>
      <c r="H24" s="343" t="s">
        <v>400</v>
      </c>
      <c r="I24" s="343"/>
      <c r="J24" s="10"/>
      <c r="K24" s="4"/>
      <c r="L24" s="340"/>
      <c r="M24" s="1"/>
    </row>
    <row r="25" spans="1:15" ht="12.75" customHeight="1" thickBot="1">
      <c r="A25" s="348"/>
      <c r="B25" s="8">
        <v>702</v>
      </c>
      <c r="D25" s="347" t="s">
        <v>374</v>
      </c>
      <c r="E25" s="345" t="s">
        <v>401</v>
      </c>
      <c r="F25" s="5"/>
      <c r="G25" s="342" t="s">
        <v>88</v>
      </c>
      <c r="H25" s="343" t="s">
        <v>401</v>
      </c>
      <c r="I25" s="343"/>
      <c r="J25" s="10"/>
      <c r="K25" s="4"/>
      <c r="L25" s="340"/>
      <c r="M25" s="1"/>
    </row>
    <row r="26" spans="1:15" ht="14.25" customHeight="1" thickBot="1">
      <c r="A26" s="330"/>
      <c r="B26" s="331"/>
      <c r="C26" s="332">
        <v>10</v>
      </c>
      <c r="D26" s="333" t="s">
        <v>376</v>
      </c>
      <c r="E26" s="349"/>
      <c r="F26" s="334"/>
      <c r="G26" s="517" t="s">
        <v>516</v>
      </c>
      <c r="H26" s="335"/>
      <c r="I26" s="519" t="s">
        <v>512</v>
      </c>
      <c r="J26" s="327" t="s">
        <v>513</v>
      </c>
      <c r="K26" s="337"/>
      <c r="L26" s="340"/>
      <c r="M26" s="1"/>
    </row>
    <row r="27" spans="1:15">
      <c r="A27" s="348"/>
      <c r="B27" s="8">
        <v>1010</v>
      </c>
      <c r="D27" s="346" t="s">
        <v>380</v>
      </c>
      <c r="E27" s="345" t="s">
        <v>402</v>
      </c>
      <c r="F27" s="342" t="s">
        <v>406</v>
      </c>
      <c r="G27" s="342"/>
      <c r="H27" s="343"/>
      <c r="I27" s="343"/>
      <c r="J27" s="10"/>
      <c r="K27" s="4"/>
      <c r="L27" s="340"/>
      <c r="M27" s="1"/>
    </row>
    <row r="28" spans="1:15" ht="13.5" thickBot="1">
      <c r="A28" s="348"/>
      <c r="B28" s="8">
        <v>1020</v>
      </c>
      <c r="D28" s="347" t="s">
        <v>381</v>
      </c>
      <c r="E28" s="345" t="s">
        <v>403</v>
      </c>
      <c r="F28" s="342" t="s">
        <v>406</v>
      </c>
      <c r="G28" s="342"/>
      <c r="H28" s="343"/>
      <c r="I28" s="343"/>
      <c r="J28" s="10"/>
      <c r="K28" s="4"/>
      <c r="L28" s="340"/>
      <c r="M28" s="1"/>
    </row>
    <row r="29" spans="1:15" ht="13.5" thickBot="1">
      <c r="A29" s="330"/>
      <c r="B29" s="331"/>
      <c r="C29" s="332">
        <v>11</v>
      </c>
      <c r="D29" s="333" t="s">
        <v>377</v>
      </c>
      <c r="E29" s="349"/>
      <c r="F29" s="334"/>
      <c r="G29" s="517" t="s">
        <v>516</v>
      </c>
      <c r="H29" s="335"/>
      <c r="I29" s="519" t="s">
        <v>512</v>
      </c>
      <c r="J29" s="327" t="s">
        <v>513</v>
      </c>
      <c r="K29" s="337"/>
      <c r="L29" s="340"/>
      <c r="M29" s="1"/>
    </row>
    <row r="30" spans="1:15">
      <c r="A30" s="348"/>
      <c r="B30" s="8">
        <v>2010</v>
      </c>
      <c r="D30" s="346" t="s">
        <v>378</v>
      </c>
      <c r="E30" s="345" t="s">
        <v>404</v>
      </c>
      <c r="F30" s="342" t="s">
        <v>407</v>
      </c>
      <c r="G30" s="342"/>
      <c r="H30" s="343"/>
      <c r="I30" s="343"/>
      <c r="J30" s="10"/>
      <c r="K30" s="4"/>
      <c r="L30" s="340"/>
      <c r="M30"/>
      <c r="O30" s="16"/>
    </row>
    <row r="31" spans="1:15">
      <c r="A31" s="348"/>
      <c r="B31" s="8">
        <v>2020</v>
      </c>
      <c r="D31" s="347" t="s">
        <v>379</v>
      </c>
      <c r="E31" s="345" t="s">
        <v>405</v>
      </c>
      <c r="F31" s="342" t="s">
        <v>407</v>
      </c>
      <c r="G31" s="342"/>
      <c r="H31" s="343"/>
      <c r="I31" s="343"/>
      <c r="J31" s="10"/>
      <c r="K31" s="4"/>
      <c r="L31"/>
      <c r="M31"/>
    </row>
    <row r="32" spans="1:15">
      <c r="A32" s="7"/>
      <c r="B32" s="8"/>
      <c r="C32" s="363" t="s">
        <v>14</v>
      </c>
      <c r="D32" s="3"/>
      <c r="E32" s="6"/>
      <c r="F32" s="5"/>
      <c r="G32" s="5"/>
      <c r="H32" s="344"/>
      <c r="I32" s="5"/>
      <c r="J32" s="10"/>
      <c r="K32" s="4"/>
      <c r="L32"/>
      <c r="M32"/>
    </row>
    <row r="33" spans="1:11" customFormat="1">
      <c r="A33" s="350"/>
      <c r="B33" s="351"/>
      <c r="C33" s="350"/>
      <c r="D33" s="352"/>
      <c r="E33" s="353"/>
      <c r="F33" s="354"/>
      <c r="G33" s="354"/>
      <c r="H33" s="355"/>
      <c r="I33" s="354"/>
      <c r="J33" s="356"/>
      <c r="K33" s="357"/>
    </row>
    <row r="34" spans="1:11" customFormat="1">
      <c r="A34" s="2"/>
      <c r="C34" s="2"/>
      <c r="E34" s="358"/>
      <c r="F34" s="359"/>
      <c r="G34" s="359"/>
      <c r="H34" s="360"/>
      <c r="I34" s="359"/>
      <c r="J34" s="361"/>
      <c r="K34" s="362"/>
    </row>
    <row r="35" spans="1:11" customFormat="1">
      <c r="A35" s="2"/>
      <c r="C35" s="2"/>
      <c r="D35" t="s">
        <v>214</v>
      </c>
      <c r="E35" s="358"/>
      <c r="F35" s="359"/>
      <c r="G35" s="359"/>
      <c r="H35" s="360"/>
      <c r="I35" s="359"/>
      <c r="J35" s="361"/>
      <c r="K35" s="1"/>
    </row>
    <row r="36" spans="1:11" customFormat="1">
      <c r="A36" s="2"/>
      <c r="C36" s="2"/>
      <c r="D36" s="14"/>
      <c r="E36" s="358"/>
      <c r="F36" s="359"/>
      <c r="G36" s="359"/>
      <c r="H36" s="360"/>
      <c r="I36" s="359"/>
      <c r="J36" s="361"/>
      <c r="K36" s="1"/>
    </row>
    <row r="37" spans="1:11" customFormat="1">
      <c r="A37" s="2"/>
      <c r="B37" s="60"/>
      <c r="C37" s="2"/>
      <c r="E37" s="358"/>
      <c r="F37" s="359"/>
      <c r="G37" s="359"/>
      <c r="H37" s="360"/>
      <c r="I37" s="359"/>
      <c r="J37" s="361"/>
      <c r="K37" s="1"/>
    </row>
    <row r="38" spans="1:11" customFormat="1">
      <c r="A38" s="2"/>
      <c r="B38" s="60"/>
      <c r="C38" s="2"/>
      <c r="E38" s="358"/>
      <c r="F38" s="359"/>
      <c r="G38" s="359"/>
      <c r="H38" s="360"/>
      <c r="I38" s="359"/>
      <c r="J38" s="361"/>
      <c r="K38" s="1"/>
    </row>
    <row r="39" spans="1:11" customFormat="1">
      <c r="A39" s="2"/>
      <c r="B39" s="60"/>
      <c r="C39" s="2"/>
      <c r="E39" s="358"/>
      <c r="F39" s="359"/>
      <c r="G39" s="359"/>
      <c r="H39" s="360"/>
      <c r="I39" s="359"/>
      <c r="J39" s="361"/>
      <c r="K39" s="1"/>
    </row>
    <row r="40" spans="1:11" customFormat="1">
      <c r="A40" s="2"/>
      <c r="B40" s="60"/>
      <c r="C40" s="2"/>
      <c r="E40" s="358"/>
      <c r="F40" s="359"/>
      <c r="G40" s="359"/>
      <c r="H40" s="360"/>
      <c r="I40" s="359"/>
      <c r="J40" s="361"/>
      <c r="K40" s="1"/>
    </row>
    <row r="41" spans="1:11" customFormat="1">
      <c r="A41" s="2"/>
      <c r="B41" s="60"/>
      <c r="C41" s="2"/>
      <c r="E41" s="358"/>
      <c r="F41" s="359"/>
      <c r="G41" s="359"/>
      <c r="H41" s="360"/>
      <c r="I41" s="359"/>
      <c r="J41" s="361"/>
      <c r="K41" s="1"/>
    </row>
    <row r="42" spans="1:11" customFormat="1">
      <c r="A42" s="2"/>
      <c r="C42" s="2"/>
      <c r="E42" s="358"/>
      <c r="G42" s="2"/>
      <c r="H42" s="2"/>
      <c r="I42" s="2"/>
      <c r="J42" s="361"/>
      <c r="K42" s="1"/>
    </row>
    <row r="43" spans="1:11" customFormat="1">
      <c r="A43" s="2"/>
      <c r="C43" s="2"/>
      <c r="E43" s="1"/>
      <c r="G43" s="2"/>
      <c r="H43" s="2"/>
      <c r="I43" s="2"/>
    </row>
    <row r="44" spans="1:11" customFormat="1">
      <c r="A44" s="2"/>
      <c r="C44" s="2"/>
      <c r="E44" s="1"/>
      <c r="G44" s="2"/>
      <c r="H44" s="2"/>
      <c r="I44" s="2"/>
    </row>
    <row r="45" spans="1:11" customFormat="1">
      <c r="A45" s="2"/>
      <c r="C45" s="2"/>
      <c r="E45" s="1"/>
      <c r="G45" s="2"/>
      <c r="H45" s="2"/>
      <c r="I45" s="2"/>
    </row>
    <row r="46" spans="1:11" customFormat="1">
      <c r="A46" s="2"/>
      <c r="C46" s="2"/>
      <c r="E46" s="1"/>
      <c r="G46" s="2"/>
      <c r="H46" s="2"/>
      <c r="I46" s="2"/>
    </row>
    <row r="47" spans="1:11" customFormat="1">
      <c r="A47" s="2"/>
      <c r="C47" s="2"/>
      <c r="E47" s="1"/>
      <c r="G47" s="2"/>
      <c r="H47" s="2"/>
      <c r="I47" s="2"/>
    </row>
    <row r="48" spans="1:11" customFormat="1">
      <c r="A48" s="2"/>
      <c r="C48" s="2"/>
      <c r="E48" s="1"/>
      <c r="G48" s="2"/>
      <c r="H48" s="2"/>
      <c r="I48" s="2"/>
    </row>
    <row r="49" spans="1:9" customFormat="1">
      <c r="A49" s="2"/>
      <c r="C49" s="2"/>
      <c r="E49" s="1"/>
      <c r="G49" s="2"/>
      <c r="H49" s="2"/>
      <c r="I49" s="2"/>
    </row>
    <row r="50" spans="1:9" customFormat="1">
      <c r="A50" s="2"/>
      <c r="C50" s="2"/>
      <c r="E50" s="1"/>
      <c r="G50" s="2"/>
      <c r="H50" s="2"/>
      <c r="I50" s="2"/>
    </row>
    <row r="51" spans="1:9" customFormat="1">
      <c r="A51" s="2"/>
      <c r="C51" s="2"/>
      <c r="E51" s="1"/>
      <c r="G51" s="2"/>
      <c r="H51" s="2"/>
      <c r="I51" s="2"/>
    </row>
    <row r="52" spans="1:9" customFormat="1">
      <c r="A52" s="2"/>
      <c r="C52" s="2"/>
      <c r="E52" s="1"/>
      <c r="G52" s="2"/>
      <c r="H52" s="2"/>
      <c r="I52" s="2"/>
    </row>
    <row r="53" spans="1:9" customFormat="1">
      <c r="A53" s="2"/>
      <c r="C53" s="2"/>
      <c r="E53" s="1"/>
      <c r="G53" s="2"/>
      <c r="H53" s="2"/>
      <c r="I53" s="2"/>
    </row>
    <row r="54" spans="1:9" customFormat="1">
      <c r="A54" s="2"/>
      <c r="C54" s="2"/>
      <c r="E54" s="1"/>
      <c r="G54" s="2"/>
      <c r="H54" s="2"/>
      <c r="I54" s="2"/>
    </row>
    <row r="55" spans="1:9" customFormat="1">
      <c r="A55" s="2"/>
      <c r="C55" s="2"/>
      <c r="E55" s="1"/>
      <c r="G55" s="2"/>
      <c r="H55" s="2"/>
      <c r="I55" s="2"/>
    </row>
    <row r="56" spans="1:9" customFormat="1">
      <c r="A56" s="2"/>
      <c r="C56" s="2"/>
      <c r="E56" s="1"/>
      <c r="G56" s="2"/>
      <c r="H56" s="2"/>
      <c r="I56" s="2"/>
    </row>
    <row r="57" spans="1:9" customFormat="1">
      <c r="A57" s="2"/>
      <c r="C57" s="2"/>
      <c r="E57" s="1"/>
      <c r="G57" s="2"/>
      <c r="H57" s="2"/>
      <c r="I57" s="2"/>
    </row>
    <row r="58" spans="1:9" customFormat="1">
      <c r="A58" s="2"/>
      <c r="C58" s="2"/>
      <c r="E58" s="1"/>
      <c r="G58" s="2"/>
      <c r="H58" s="2"/>
      <c r="I58" s="2"/>
    </row>
    <row r="59" spans="1:9" customFormat="1">
      <c r="A59" s="2"/>
      <c r="C59" s="2"/>
      <c r="E59" s="1"/>
      <c r="G59" s="2"/>
      <c r="H59" s="2"/>
      <c r="I59" s="2"/>
    </row>
    <row r="60" spans="1:9" customFormat="1">
      <c r="A60" s="2"/>
      <c r="C60" s="2"/>
      <c r="E60" s="1"/>
      <c r="G60" s="2"/>
      <c r="H60" s="2"/>
      <c r="I60" s="2"/>
    </row>
    <row r="61" spans="1:9" customFormat="1">
      <c r="A61" s="2"/>
      <c r="C61" s="2"/>
      <c r="E61" s="1"/>
      <c r="G61" s="2"/>
      <c r="H61" s="2"/>
      <c r="I61" s="2"/>
    </row>
    <row r="62" spans="1:9" customFormat="1">
      <c r="A62" s="2"/>
      <c r="C62" s="2"/>
      <c r="E62" s="1"/>
      <c r="G62" s="2"/>
      <c r="H62" s="2"/>
      <c r="I62" s="2"/>
    </row>
    <row r="63" spans="1:9" customFormat="1">
      <c r="A63" s="2"/>
      <c r="C63" s="2"/>
      <c r="E63" s="1"/>
      <c r="G63" s="2"/>
      <c r="H63" s="2"/>
      <c r="I63" s="2"/>
    </row>
    <row r="64" spans="1:9" customFormat="1">
      <c r="A64" s="2"/>
      <c r="C64" s="2"/>
      <c r="E64" s="1"/>
      <c r="G64" s="2"/>
      <c r="H64" s="2"/>
      <c r="I64" s="2"/>
    </row>
    <row r="65" spans="1:9" customFormat="1">
      <c r="A65" s="2"/>
      <c r="C65" s="2"/>
      <c r="E65" s="1"/>
      <c r="G65" s="2"/>
      <c r="H65" s="2"/>
      <c r="I65" s="2"/>
    </row>
    <row r="66" spans="1:9" customFormat="1">
      <c r="A66" s="2"/>
      <c r="C66" s="2"/>
      <c r="E66" s="1"/>
      <c r="G66" s="2"/>
      <c r="H66" s="2"/>
      <c r="I66" s="2"/>
    </row>
    <row r="67" spans="1:9" customFormat="1">
      <c r="A67" s="2"/>
      <c r="C67" s="2"/>
      <c r="E67" s="1"/>
      <c r="G67" s="2"/>
      <c r="H67" s="2"/>
      <c r="I67" s="2"/>
    </row>
    <row r="68" spans="1:9" customFormat="1">
      <c r="A68" s="2"/>
      <c r="C68" s="2"/>
      <c r="E68" s="1"/>
      <c r="G68" s="2"/>
      <c r="H68" s="2"/>
      <c r="I68" s="2"/>
    </row>
    <row r="69" spans="1:9" customFormat="1">
      <c r="A69" s="2"/>
      <c r="C69" s="2"/>
      <c r="E69" s="1"/>
      <c r="G69" s="2"/>
      <c r="H69" s="2"/>
      <c r="I69" s="2"/>
    </row>
    <row r="70" spans="1:9" customFormat="1">
      <c r="A70" s="2"/>
      <c r="C70" s="2"/>
      <c r="E70" s="1"/>
      <c r="G70" s="2"/>
      <c r="H70" s="2"/>
      <c r="I70" s="2"/>
    </row>
    <row r="71" spans="1:9" customFormat="1">
      <c r="A71" s="2"/>
      <c r="C71" s="2"/>
      <c r="E71" s="1"/>
      <c r="G71" s="2"/>
      <c r="H71" s="2"/>
      <c r="I71" s="2"/>
    </row>
    <row r="72" spans="1:9" customFormat="1">
      <c r="A72" s="2"/>
      <c r="C72" s="2"/>
      <c r="E72" s="1"/>
      <c r="G72" s="2"/>
      <c r="H72" s="2"/>
      <c r="I72" s="2"/>
    </row>
    <row r="73" spans="1:9" customFormat="1">
      <c r="A73" s="2"/>
      <c r="C73" s="2"/>
      <c r="E73" s="1"/>
      <c r="G73" s="2"/>
      <c r="H73" s="2"/>
      <c r="I73" s="2"/>
    </row>
    <row r="74" spans="1:9" customFormat="1">
      <c r="A74" s="2"/>
      <c r="C74" s="2"/>
      <c r="E74" s="1"/>
      <c r="G74" s="2"/>
      <c r="H74" s="2"/>
      <c r="I74" s="2"/>
    </row>
    <row r="75" spans="1:9" customFormat="1">
      <c r="A75" s="2"/>
      <c r="C75" s="2"/>
      <c r="E75" s="1"/>
      <c r="G75" s="2"/>
      <c r="H75" s="2"/>
      <c r="I75" s="2"/>
    </row>
    <row r="76" spans="1:9" customFormat="1">
      <c r="A76" s="2"/>
      <c r="C76" s="2"/>
      <c r="E76" s="1"/>
      <c r="G76" s="2"/>
      <c r="H76" s="2"/>
      <c r="I76" s="2"/>
    </row>
    <row r="77" spans="1:9" customFormat="1">
      <c r="A77" s="2"/>
      <c r="C77" s="2"/>
      <c r="E77" s="1"/>
      <c r="G77" s="2"/>
      <c r="H77" s="2"/>
      <c r="I77" s="2"/>
    </row>
    <row r="78" spans="1:9" customFormat="1">
      <c r="A78" s="2"/>
      <c r="C78" s="2"/>
      <c r="E78" s="1"/>
      <c r="G78" s="2"/>
      <c r="H78" s="2"/>
      <c r="I78" s="2"/>
    </row>
    <row r="79" spans="1:9" customFormat="1">
      <c r="A79" s="2"/>
      <c r="C79" s="2"/>
      <c r="E79" s="1"/>
      <c r="G79" s="2"/>
      <c r="H79" s="2"/>
      <c r="I79" s="2"/>
    </row>
    <row r="80" spans="1:9" customFormat="1">
      <c r="A80" s="2"/>
      <c r="C80" s="2"/>
      <c r="E80" s="1"/>
      <c r="G80" s="2"/>
      <c r="H80" s="2"/>
      <c r="I80" s="2"/>
    </row>
    <row r="81" spans="1:9" customFormat="1">
      <c r="A81" s="2"/>
      <c r="C81" s="2"/>
      <c r="E81" s="1"/>
      <c r="G81" s="2"/>
      <c r="H81" s="2"/>
      <c r="I81" s="2"/>
    </row>
    <row r="82" spans="1:9" customFormat="1">
      <c r="A82" s="2"/>
      <c r="C82" s="2"/>
      <c r="E82" s="1"/>
      <c r="G82" s="2"/>
      <c r="H82" s="2"/>
      <c r="I82" s="2"/>
    </row>
    <row r="83" spans="1:9" customFormat="1">
      <c r="A83" s="2"/>
      <c r="C83" s="2"/>
      <c r="E83" s="1"/>
      <c r="G83" s="2"/>
      <c r="H83" s="2"/>
      <c r="I83" s="2"/>
    </row>
    <row r="84" spans="1:9" customFormat="1">
      <c r="A84" s="2"/>
      <c r="C84" s="2"/>
      <c r="E84" s="1"/>
      <c r="G84" s="2"/>
      <c r="H84" s="2"/>
      <c r="I84" s="2"/>
    </row>
    <row r="85" spans="1:9" customFormat="1">
      <c r="A85" s="2"/>
      <c r="C85" s="2"/>
      <c r="E85" s="1"/>
      <c r="G85" s="2"/>
      <c r="H85" s="2"/>
      <c r="I85" s="2"/>
    </row>
    <row r="86" spans="1:9" customFormat="1">
      <c r="A86" s="2"/>
      <c r="C86" s="2"/>
      <c r="E86" s="1"/>
      <c r="G86" s="2"/>
      <c r="H86" s="2"/>
      <c r="I86" s="2"/>
    </row>
    <row r="87" spans="1:9" customFormat="1">
      <c r="A87" s="2"/>
      <c r="C87" s="2"/>
      <c r="E87" s="1"/>
      <c r="G87" s="2"/>
      <c r="H87" s="2"/>
      <c r="I87" s="2"/>
    </row>
    <row r="88" spans="1:9" customFormat="1">
      <c r="A88" s="2"/>
      <c r="C88" s="2"/>
      <c r="E88" s="1"/>
      <c r="G88" s="2"/>
      <c r="H88" s="2"/>
      <c r="I88" s="2"/>
    </row>
    <row r="89" spans="1:9" customFormat="1">
      <c r="A89" s="2"/>
      <c r="C89" s="2"/>
      <c r="E89" s="1"/>
      <c r="G89" s="2"/>
      <c r="H89" s="2"/>
      <c r="I89" s="2"/>
    </row>
    <row r="90" spans="1:9" customFormat="1">
      <c r="A90" s="2"/>
      <c r="C90" s="2"/>
      <c r="E90" s="1"/>
      <c r="G90" s="2"/>
      <c r="H90" s="2"/>
      <c r="I90" s="2"/>
    </row>
    <row r="91" spans="1:9" customFormat="1">
      <c r="A91" s="2"/>
      <c r="C91" s="2"/>
      <c r="E91" s="1"/>
      <c r="G91" s="2"/>
      <c r="H91" s="2"/>
      <c r="I91" s="2"/>
    </row>
    <row r="92" spans="1:9" customFormat="1">
      <c r="A92" s="2"/>
      <c r="C92" s="2"/>
      <c r="E92" s="1"/>
      <c r="G92" s="2"/>
      <c r="H92" s="2"/>
      <c r="I92" s="2"/>
    </row>
    <row r="93" spans="1:9" customFormat="1">
      <c r="A93" s="2"/>
      <c r="C93" s="2"/>
      <c r="E93" s="1"/>
      <c r="G93" s="2"/>
      <c r="H93" s="2"/>
      <c r="I93" s="2"/>
    </row>
    <row r="94" spans="1:9" customFormat="1">
      <c r="A94" s="2"/>
      <c r="C94" s="2"/>
      <c r="E94" s="1"/>
      <c r="G94" s="2"/>
      <c r="H94" s="2"/>
      <c r="I94" s="2"/>
    </row>
    <row r="95" spans="1:9" customFormat="1">
      <c r="A95" s="2"/>
      <c r="C95" s="2"/>
      <c r="E95" s="1"/>
      <c r="G95" s="2"/>
      <c r="H95" s="2"/>
      <c r="I95" s="2"/>
    </row>
    <row r="96" spans="1:9" customFormat="1">
      <c r="A96" s="2"/>
      <c r="C96" s="2"/>
      <c r="E96" s="1"/>
      <c r="G96" s="2"/>
      <c r="H96" s="2"/>
      <c r="I96" s="2"/>
    </row>
    <row r="97" spans="1:9" customFormat="1">
      <c r="A97" s="2"/>
      <c r="C97" s="2"/>
      <c r="E97" s="1"/>
      <c r="G97" s="2"/>
      <c r="H97" s="2"/>
      <c r="I97" s="2"/>
    </row>
    <row r="98" spans="1:9" customFormat="1">
      <c r="A98" s="2"/>
      <c r="C98" s="2"/>
      <c r="E98" s="1"/>
      <c r="G98" s="2"/>
      <c r="H98" s="2"/>
      <c r="I98" s="2"/>
    </row>
    <row r="99" spans="1:9" customFormat="1">
      <c r="A99" s="2"/>
      <c r="C99" s="2"/>
      <c r="E99" s="1"/>
      <c r="G99" s="2"/>
      <c r="H99" s="2"/>
      <c r="I99" s="2"/>
    </row>
    <row r="100" spans="1:9" customFormat="1">
      <c r="A100" s="2"/>
      <c r="C100" s="2"/>
      <c r="E100" s="1"/>
      <c r="G100" s="2"/>
      <c r="H100" s="2"/>
      <c r="I100" s="2"/>
    </row>
    <row r="101" spans="1:9" customFormat="1">
      <c r="A101" s="2"/>
      <c r="C101" s="2"/>
      <c r="E101" s="1"/>
      <c r="G101" s="2"/>
      <c r="H101" s="2"/>
      <c r="I101" s="2"/>
    </row>
    <row r="102" spans="1:9" customFormat="1">
      <c r="A102" s="2"/>
      <c r="C102" s="2"/>
      <c r="E102" s="1"/>
      <c r="G102" s="2"/>
      <c r="H102" s="2"/>
      <c r="I102" s="2"/>
    </row>
    <row r="103" spans="1:9" customFormat="1">
      <c r="A103" s="2"/>
      <c r="C103" s="2"/>
      <c r="E103" s="1"/>
      <c r="G103" s="2"/>
      <c r="H103" s="2"/>
      <c r="I103" s="2"/>
    </row>
    <row r="104" spans="1:9" customFormat="1">
      <c r="A104" s="2"/>
      <c r="C104" s="2"/>
      <c r="E104" s="1"/>
      <c r="G104" s="2"/>
      <c r="H104" s="2"/>
      <c r="I104" s="2"/>
    </row>
    <row r="105" spans="1:9" customFormat="1">
      <c r="A105" s="2"/>
      <c r="C105" s="2"/>
      <c r="E105" s="1"/>
      <c r="G105" s="2"/>
      <c r="H105" s="2"/>
      <c r="I105" s="2"/>
    </row>
    <row r="106" spans="1:9" customFormat="1">
      <c r="A106" s="2"/>
      <c r="C106" s="2"/>
      <c r="E106" s="1"/>
      <c r="G106" s="2"/>
      <c r="H106" s="2"/>
      <c r="I106" s="2"/>
    </row>
    <row r="107" spans="1:9" customFormat="1">
      <c r="A107" s="2"/>
      <c r="C107" s="2"/>
      <c r="E107" s="1"/>
      <c r="G107" s="2"/>
      <c r="H107" s="2"/>
      <c r="I107" s="2"/>
    </row>
    <row r="108" spans="1:9" customFormat="1">
      <c r="A108" s="2"/>
      <c r="C108" s="2"/>
      <c r="E108" s="1"/>
      <c r="G108" s="2"/>
      <c r="H108" s="2"/>
      <c r="I108" s="2"/>
    </row>
    <row r="109" spans="1:9" customFormat="1">
      <c r="A109" s="2"/>
      <c r="C109" s="2"/>
      <c r="E109" s="1"/>
      <c r="G109" s="2"/>
      <c r="H109" s="2"/>
      <c r="I109" s="2"/>
    </row>
    <row r="110" spans="1:9" customFormat="1">
      <c r="A110" s="2"/>
      <c r="C110" s="2"/>
      <c r="E110" s="1"/>
      <c r="G110" s="2"/>
      <c r="H110" s="2"/>
      <c r="I110" s="2"/>
    </row>
    <row r="111" spans="1:9" customFormat="1">
      <c r="A111" s="2"/>
      <c r="C111" s="2"/>
      <c r="E111" s="1"/>
      <c r="G111" s="2"/>
      <c r="H111" s="2"/>
      <c r="I111" s="2"/>
    </row>
    <row r="112" spans="1:9" customFormat="1">
      <c r="A112" s="2"/>
      <c r="C112" s="2"/>
      <c r="E112" s="1"/>
      <c r="G112" s="2"/>
      <c r="H112" s="2"/>
      <c r="I112" s="2"/>
    </row>
    <row r="113" spans="1:9" customFormat="1">
      <c r="A113" s="2"/>
      <c r="C113" s="2"/>
      <c r="E113" s="1"/>
      <c r="G113" s="2"/>
      <c r="H113" s="2"/>
      <c r="I113" s="2"/>
    </row>
    <row r="114" spans="1:9" customFormat="1">
      <c r="A114" s="2"/>
      <c r="C114" s="2"/>
      <c r="E114" s="1"/>
      <c r="G114" s="2"/>
      <c r="H114" s="2"/>
      <c r="I114" s="2"/>
    </row>
    <row r="115" spans="1:9" customFormat="1">
      <c r="A115" s="2"/>
      <c r="C115" s="2"/>
      <c r="E115" s="1"/>
      <c r="G115" s="2"/>
      <c r="H115" s="2"/>
      <c r="I115" s="2"/>
    </row>
    <row r="116" spans="1:9" customFormat="1">
      <c r="A116" s="2"/>
      <c r="C116" s="2"/>
      <c r="E116" s="1"/>
      <c r="G116" s="2"/>
      <c r="H116" s="2"/>
      <c r="I116" s="2"/>
    </row>
    <row r="117" spans="1:9" customFormat="1">
      <c r="A117" s="2"/>
      <c r="C117" s="2"/>
      <c r="E117" s="1"/>
      <c r="G117" s="2"/>
      <c r="H117" s="2"/>
      <c r="I117" s="2"/>
    </row>
    <row r="118" spans="1:9" customFormat="1">
      <c r="A118" s="2"/>
      <c r="C118" s="2"/>
      <c r="E118" s="1"/>
      <c r="G118" s="2"/>
      <c r="H118" s="2"/>
      <c r="I118" s="2"/>
    </row>
    <row r="119" spans="1:9" customFormat="1">
      <c r="A119" s="2"/>
      <c r="C119" s="2"/>
      <c r="E119" s="1"/>
      <c r="G119" s="2"/>
      <c r="H119" s="2"/>
      <c r="I119" s="2"/>
    </row>
    <row r="120" spans="1:9" customFormat="1">
      <c r="A120" s="2"/>
      <c r="C120" s="2"/>
      <c r="E120" s="1"/>
      <c r="G120" s="2"/>
      <c r="H120" s="2"/>
      <c r="I120" s="2"/>
    </row>
    <row r="121" spans="1:9" customFormat="1">
      <c r="A121" s="2"/>
      <c r="C121" s="2"/>
      <c r="E121" s="1"/>
      <c r="G121" s="2"/>
      <c r="H121" s="2"/>
      <c r="I121" s="2"/>
    </row>
    <row r="122" spans="1:9" customFormat="1">
      <c r="A122" s="2"/>
      <c r="C122" s="2"/>
      <c r="E122" s="1"/>
      <c r="G122" s="2"/>
      <c r="H122" s="2"/>
      <c r="I122" s="2"/>
    </row>
    <row r="123" spans="1:9" customFormat="1">
      <c r="A123" s="2"/>
      <c r="C123" s="2"/>
      <c r="E123" s="1"/>
      <c r="G123" s="2"/>
      <c r="H123" s="2"/>
      <c r="I123" s="2"/>
    </row>
    <row r="124" spans="1:9" customFormat="1">
      <c r="A124" s="2"/>
      <c r="C124" s="2"/>
      <c r="E124" s="1"/>
      <c r="G124" s="2"/>
      <c r="H124" s="2"/>
      <c r="I124" s="2"/>
    </row>
    <row r="125" spans="1:9" customFormat="1">
      <c r="A125" s="2"/>
      <c r="C125" s="2"/>
      <c r="E125" s="1"/>
      <c r="G125" s="2"/>
      <c r="H125" s="2"/>
      <c r="I125" s="2"/>
    </row>
    <row r="126" spans="1:9" customFormat="1">
      <c r="A126" s="2"/>
      <c r="C126" s="2"/>
      <c r="E126" s="1"/>
      <c r="G126" s="2"/>
      <c r="H126" s="2"/>
      <c r="I126" s="2"/>
    </row>
    <row r="127" spans="1:9" customFormat="1">
      <c r="A127" s="2"/>
      <c r="C127" s="2"/>
      <c r="E127" s="1"/>
      <c r="G127" s="2"/>
      <c r="H127" s="2"/>
      <c r="I127" s="2"/>
    </row>
    <row r="128" spans="1:9" customFormat="1">
      <c r="A128" s="2"/>
      <c r="C128" s="2"/>
      <c r="E128" s="1"/>
      <c r="G128" s="2"/>
      <c r="H128" s="2"/>
      <c r="I128" s="2"/>
    </row>
    <row r="129" spans="1:9" customFormat="1">
      <c r="A129" s="2"/>
      <c r="C129" s="2"/>
      <c r="E129" s="1"/>
      <c r="G129" s="2"/>
      <c r="H129" s="2"/>
      <c r="I129" s="2"/>
    </row>
    <row r="130" spans="1:9" customFormat="1">
      <c r="A130" s="2"/>
      <c r="C130" s="2"/>
      <c r="E130" s="1"/>
      <c r="G130" s="2"/>
      <c r="H130" s="2"/>
      <c r="I130" s="2"/>
    </row>
    <row r="131" spans="1:9" customFormat="1">
      <c r="A131" s="2"/>
      <c r="C131" s="2"/>
      <c r="E131" s="1"/>
      <c r="G131" s="2"/>
      <c r="H131" s="2"/>
      <c r="I131" s="2"/>
    </row>
    <row r="132" spans="1:9" customFormat="1">
      <c r="A132" s="2"/>
      <c r="C132" s="2"/>
      <c r="E132" s="1"/>
      <c r="G132" s="2"/>
      <c r="H132" s="2"/>
      <c r="I132" s="2"/>
    </row>
    <row r="133" spans="1:9" customFormat="1">
      <c r="A133" s="2"/>
      <c r="C133" s="2"/>
      <c r="E133" s="1"/>
      <c r="G133" s="2"/>
      <c r="H133" s="2"/>
      <c r="I133" s="2"/>
    </row>
    <row r="134" spans="1:9" customFormat="1">
      <c r="A134" s="2"/>
      <c r="C134" s="2"/>
      <c r="E134" s="1"/>
      <c r="G134" s="2"/>
      <c r="H134" s="2"/>
      <c r="I134" s="2"/>
    </row>
    <row r="135" spans="1:9" customFormat="1">
      <c r="A135" s="2"/>
      <c r="C135" s="2"/>
      <c r="E135" s="1"/>
      <c r="G135" s="2"/>
      <c r="H135" s="2"/>
      <c r="I135" s="2"/>
    </row>
    <row r="136" spans="1:9" customFormat="1">
      <c r="A136" s="2"/>
      <c r="C136" s="2"/>
      <c r="E136" s="1"/>
      <c r="G136" s="2"/>
      <c r="H136" s="2"/>
      <c r="I136" s="2"/>
    </row>
    <row r="137" spans="1:9" customFormat="1">
      <c r="A137" s="2"/>
      <c r="C137" s="2"/>
      <c r="E137" s="1"/>
      <c r="G137" s="2"/>
      <c r="H137" s="2"/>
      <c r="I137" s="2"/>
    </row>
    <row r="138" spans="1:9" customFormat="1">
      <c r="A138" s="2"/>
      <c r="C138" s="2"/>
      <c r="E138" s="1"/>
      <c r="G138" s="2"/>
      <c r="H138" s="2"/>
      <c r="I138" s="2"/>
    </row>
    <row r="139" spans="1:9" customFormat="1">
      <c r="A139" s="2"/>
      <c r="C139" s="2"/>
      <c r="E139" s="1"/>
      <c r="G139" s="2"/>
      <c r="H139" s="2"/>
      <c r="I139" s="2"/>
    </row>
    <row r="140" spans="1:9" customFormat="1">
      <c r="A140" s="2"/>
      <c r="C140" s="2"/>
      <c r="E140" s="1"/>
      <c r="G140" s="2"/>
      <c r="H140" s="2"/>
      <c r="I140" s="2"/>
    </row>
    <row r="141" spans="1:9" customFormat="1">
      <c r="A141" s="2"/>
      <c r="C141" s="2"/>
      <c r="E141" s="1"/>
      <c r="G141" s="2"/>
      <c r="H141" s="2"/>
      <c r="I141" s="2"/>
    </row>
    <row r="142" spans="1:9" customFormat="1">
      <c r="A142" s="2"/>
      <c r="C142" s="2"/>
      <c r="E142" s="1"/>
      <c r="G142" s="2"/>
      <c r="H142" s="2"/>
      <c r="I142" s="2"/>
    </row>
    <row r="143" spans="1:9" customFormat="1">
      <c r="A143" s="2"/>
      <c r="C143" s="2"/>
      <c r="E143" s="1"/>
      <c r="G143" s="2"/>
      <c r="H143" s="2"/>
      <c r="I143" s="2"/>
    </row>
    <row r="144" spans="1:9" customFormat="1">
      <c r="A144" s="2"/>
      <c r="C144" s="2"/>
      <c r="E144" s="1"/>
      <c r="G144" s="2"/>
      <c r="H144" s="2"/>
      <c r="I144" s="2"/>
    </row>
    <row r="145" spans="1:9" customFormat="1">
      <c r="A145" s="2"/>
      <c r="C145" s="2"/>
      <c r="E145" s="1"/>
      <c r="G145" s="2"/>
      <c r="H145" s="2"/>
      <c r="I145" s="2"/>
    </row>
    <row r="146" spans="1:9" customFormat="1">
      <c r="A146" s="2"/>
      <c r="C146" s="2"/>
      <c r="E146" s="1"/>
      <c r="G146" s="2"/>
      <c r="H146" s="2"/>
      <c r="I146" s="2"/>
    </row>
    <row r="147" spans="1:9" customFormat="1">
      <c r="A147" s="2"/>
      <c r="C147" s="2"/>
      <c r="E147" s="1"/>
      <c r="G147" s="2"/>
      <c r="H147" s="2"/>
      <c r="I147" s="2"/>
    </row>
    <row r="148" spans="1:9" customFormat="1">
      <c r="A148" s="2"/>
      <c r="C148" s="2"/>
      <c r="E148" s="1"/>
      <c r="G148" s="2"/>
      <c r="H148" s="2"/>
      <c r="I148" s="2"/>
    </row>
    <row r="149" spans="1:9" customFormat="1">
      <c r="A149" s="2"/>
      <c r="C149" s="2"/>
      <c r="E149" s="1"/>
      <c r="G149" s="2"/>
      <c r="H149" s="2"/>
      <c r="I149" s="2"/>
    </row>
    <row r="150" spans="1:9" customFormat="1">
      <c r="A150" s="2"/>
      <c r="C150" s="2"/>
      <c r="E150" s="1"/>
      <c r="G150" s="2"/>
      <c r="H150" s="2"/>
      <c r="I150" s="2"/>
    </row>
    <row r="151" spans="1:9" customFormat="1">
      <c r="A151" s="2"/>
      <c r="C151" s="2"/>
      <c r="E151" s="1"/>
      <c r="G151" s="2"/>
      <c r="H151" s="2"/>
      <c r="I151" s="2"/>
    </row>
    <row r="152" spans="1:9" customFormat="1">
      <c r="A152" s="2"/>
      <c r="C152" s="2"/>
      <c r="E152" s="1"/>
      <c r="G152" s="2"/>
      <c r="H152" s="2"/>
      <c r="I152" s="2"/>
    </row>
    <row r="153" spans="1:9" customFormat="1">
      <c r="A153" s="2"/>
      <c r="C153" s="2"/>
      <c r="E153" s="1"/>
      <c r="G153" s="2"/>
      <c r="H153" s="2"/>
      <c r="I153" s="2"/>
    </row>
    <row r="154" spans="1:9" customFormat="1">
      <c r="A154" s="2"/>
      <c r="C154" s="2"/>
      <c r="E154" s="1"/>
      <c r="G154" s="2"/>
      <c r="H154" s="2"/>
      <c r="I154" s="2"/>
    </row>
    <row r="155" spans="1:9" customFormat="1">
      <c r="A155" s="2"/>
      <c r="C155" s="2"/>
      <c r="E155" s="1"/>
      <c r="G155" s="2"/>
      <c r="H155" s="2"/>
      <c r="I155" s="2"/>
    </row>
    <row r="156" spans="1:9" customFormat="1">
      <c r="A156" s="2"/>
      <c r="C156" s="2"/>
      <c r="E156" s="1"/>
      <c r="G156" s="2"/>
      <c r="H156" s="2"/>
      <c r="I156" s="2"/>
    </row>
    <row r="157" spans="1:9" customFormat="1">
      <c r="A157" s="2"/>
      <c r="C157" s="2"/>
      <c r="E157" s="1"/>
      <c r="G157" s="2"/>
      <c r="H157" s="2"/>
      <c r="I157" s="2"/>
    </row>
    <row r="158" spans="1:9" customFormat="1">
      <c r="A158" s="2"/>
      <c r="C158" s="2"/>
      <c r="E158" s="1"/>
      <c r="G158" s="2"/>
      <c r="H158" s="2"/>
      <c r="I158" s="2"/>
    </row>
    <row r="159" spans="1:9" customFormat="1">
      <c r="A159" s="2"/>
      <c r="C159" s="2"/>
      <c r="E159" s="1"/>
      <c r="G159" s="2"/>
      <c r="H159" s="2"/>
      <c r="I159" s="2"/>
    </row>
    <row r="160" spans="1:9" customFormat="1">
      <c r="A160" s="2"/>
      <c r="C160" s="2"/>
      <c r="E160" s="1"/>
      <c r="G160" s="2"/>
      <c r="H160" s="2"/>
      <c r="I160" s="2"/>
    </row>
    <row r="161" spans="1:9" customFormat="1">
      <c r="A161" s="2"/>
      <c r="C161" s="2"/>
      <c r="E161" s="1"/>
      <c r="G161" s="2"/>
      <c r="H161" s="2"/>
      <c r="I161" s="2"/>
    </row>
    <row r="162" spans="1:9" customFormat="1">
      <c r="A162" s="2"/>
      <c r="C162" s="2"/>
      <c r="E162" s="1"/>
      <c r="G162" s="2"/>
      <c r="H162" s="2"/>
      <c r="I162" s="2"/>
    </row>
    <row r="163" spans="1:9" customFormat="1">
      <c r="A163" s="2"/>
      <c r="C163" s="2"/>
      <c r="E163" s="1"/>
      <c r="G163" s="2"/>
      <c r="H163" s="2"/>
      <c r="I163" s="2"/>
    </row>
    <row r="164" spans="1:9" customFormat="1">
      <c r="A164" s="2"/>
      <c r="C164" s="2"/>
      <c r="E164" s="1"/>
      <c r="G164" s="2"/>
      <c r="H164" s="2"/>
      <c r="I164" s="2"/>
    </row>
    <row r="165" spans="1:9" customFormat="1">
      <c r="A165" s="2"/>
      <c r="C165" s="2"/>
      <c r="E165" s="1"/>
      <c r="G165" s="2"/>
      <c r="H165" s="2"/>
      <c r="I165" s="2"/>
    </row>
    <row r="166" spans="1:9" customFormat="1">
      <c r="A166" s="2"/>
      <c r="C166" s="2"/>
      <c r="E166" s="1"/>
      <c r="G166" s="2"/>
      <c r="H166" s="2"/>
      <c r="I166" s="2"/>
    </row>
    <row r="167" spans="1:9" customFormat="1">
      <c r="A167" s="2"/>
      <c r="C167" s="2"/>
      <c r="E167" s="1"/>
      <c r="G167" s="2"/>
      <c r="H167" s="2"/>
      <c r="I167" s="2"/>
    </row>
    <row r="168" spans="1:9" customFormat="1">
      <c r="A168" s="2"/>
      <c r="C168" s="2"/>
      <c r="E168" s="1"/>
      <c r="G168" s="2"/>
      <c r="H168" s="2"/>
      <c r="I168" s="2"/>
    </row>
    <row r="169" spans="1:9" customFormat="1">
      <c r="A169" s="2"/>
      <c r="C169" s="2"/>
      <c r="E169" s="1"/>
      <c r="G169" s="2"/>
      <c r="H169" s="2"/>
      <c r="I169" s="2"/>
    </row>
    <row r="170" spans="1:9" customFormat="1">
      <c r="A170" s="2"/>
      <c r="C170" s="2"/>
      <c r="E170" s="1"/>
      <c r="G170" s="2"/>
      <c r="H170" s="2"/>
      <c r="I170" s="2"/>
    </row>
    <row r="171" spans="1:9" customFormat="1">
      <c r="A171" s="2"/>
      <c r="C171" s="2"/>
      <c r="E171" s="1"/>
      <c r="G171" s="2"/>
      <c r="H171" s="2"/>
      <c r="I171" s="2"/>
    </row>
    <row r="172" spans="1:9" customFormat="1">
      <c r="A172" s="2"/>
      <c r="C172" s="2"/>
      <c r="E172" s="1"/>
      <c r="G172" s="2"/>
      <c r="H172" s="2"/>
      <c r="I172" s="2"/>
    </row>
    <row r="173" spans="1:9" customFormat="1">
      <c r="A173" s="2"/>
      <c r="C173" s="2"/>
      <c r="E173" s="1"/>
      <c r="G173" s="2"/>
      <c r="H173" s="2"/>
      <c r="I173" s="2"/>
    </row>
    <row r="174" spans="1:9" customFormat="1">
      <c r="A174" s="2"/>
      <c r="C174" s="2"/>
      <c r="E174" s="1"/>
      <c r="G174" s="2"/>
      <c r="H174" s="2"/>
      <c r="I174" s="2"/>
    </row>
    <row r="175" spans="1:9" customFormat="1">
      <c r="A175" s="2"/>
      <c r="C175" s="2"/>
      <c r="E175" s="1"/>
      <c r="G175" s="2"/>
      <c r="H175" s="2"/>
      <c r="I175" s="2"/>
    </row>
    <row r="176" spans="1:9" customFormat="1">
      <c r="A176" s="2"/>
      <c r="C176" s="2"/>
      <c r="E176" s="1"/>
      <c r="G176" s="2"/>
      <c r="H176" s="2"/>
      <c r="I176" s="2"/>
    </row>
    <row r="177" spans="1:9" customFormat="1">
      <c r="A177" s="2"/>
      <c r="C177" s="2"/>
      <c r="E177" s="1"/>
      <c r="G177" s="2"/>
      <c r="H177" s="2"/>
      <c r="I177" s="2"/>
    </row>
    <row r="178" spans="1:9" customFormat="1">
      <c r="A178" s="2"/>
      <c r="C178" s="2"/>
      <c r="E178" s="1"/>
      <c r="G178" s="2"/>
      <c r="H178" s="2"/>
      <c r="I178" s="2"/>
    </row>
    <row r="179" spans="1:9" customFormat="1">
      <c r="A179" s="2"/>
      <c r="C179" s="2"/>
      <c r="E179" s="1"/>
      <c r="G179" s="2"/>
      <c r="H179" s="2"/>
      <c r="I179" s="2"/>
    </row>
    <row r="180" spans="1:9" customFormat="1">
      <c r="A180" s="2"/>
      <c r="C180" s="2"/>
      <c r="E180" s="1"/>
      <c r="G180" s="2"/>
      <c r="H180" s="2"/>
      <c r="I180" s="2"/>
    </row>
    <row r="181" spans="1:9" customFormat="1">
      <c r="A181" s="2"/>
      <c r="C181" s="2"/>
      <c r="E181" s="1"/>
      <c r="G181" s="2"/>
      <c r="H181" s="2"/>
      <c r="I181" s="2"/>
    </row>
    <row r="182" spans="1:9" customFormat="1">
      <c r="A182" s="2"/>
      <c r="C182" s="2"/>
      <c r="E182" s="1"/>
      <c r="G182" s="2"/>
      <c r="H182" s="2"/>
      <c r="I182" s="2"/>
    </row>
    <row r="183" spans="1:9" customFormat="1">
      <c r="A183" s="2"/>
      <c r="C183" s="2"/>
      <c r="E183" s="1"/>
      <c r="G183" s="2"/>
      <c r="H183" s="2"/>
      <c r="I183" s="2"/>
    </row>
    <row r="184" spans="1:9" customFormat="1">
      <c r="A184" s="2"/>
      <c r="C184" s="2"/>
      <c r="E184" s="1"/>
      <c r="G184" s="2"/>
      <c r="H184" s="2"/>
      <c r="I184" s="2"/>
    </row>
    <row r="185" spans="1:9" customFormat="1">
      <c r="A185" s="2"/>
      <c r="C185" s="2"/>
      <c r="E185" s="1"/>
      <c r="G185" s="2"/>
      <c r="H185" s="2"/>
      <c r="I185" s="2"/>
    </row>
    <row r="186" spans="1:9" customFormat="1">
      <c r="A186" s="2"/>
      <c r="C186" s="2"/>
      <c r="E186" s="1"/>
      <c r="G186" s="2"/>
      <c r="H186" s="2"/>
      <c r="I186" s="2"/>
    </row>
    <row r="187" spans="1:9" customFormat="1">
      <c r="A187" s="2"/>
      <c r="C187" s="2"/>
      <c r="E187" s="1"/>
      <c r="G187" s="2"/>
      <c r="H187" s="2"/>
      <c r="I187" s="2"/>
    </row>
    <row r="188" spans="1:9" customFormat="1">
      <c r="A188" s="2"/>
      <c r="C188" s="2"/>
      <c r="E188" s="1"/>
      <c r="G188" s="2"/>
      <c r="H188" s="2"/>
      <c r="I188" s="2"/>
    </row>
    <row r="189" spans="1:9" customFormat="1">
      <c r="A189" s="2"/>
      <c r="C189" s="2"/>
      <c r="E189" s="1"/>
      <c r="G189" s="2"/>
      <c r="H189" s="2"/>
      <c r="I189" s="2"/>
    </row>
    <row r="190" spans="1:9" customFormat="1">
      <c r="A190" s="2"/>
      <c r="C190" s="2"/>
      <c r="E190" s="1"/>
      <c r="G190" s="2"/>
      <c r="H190" s="2"/>
      <c r="I190" s="2"/>
    </row>
    <row r="191" spans="1:9" customFormat="1">
      <c r="A191" s="2"/>
      <c r="C191" s="2"/>
      <c r="E191" s="1"/>
      <c r="G191" s="2"/>
      <c r="H191" s="2"/>
      <c r="I191" s="2"/>
    </row>
    <row r="192" spans="1:9" customFormat="1">
      <c r="A192" s="2"/>
      <c r="C192" s="2"/>
      <c r="E192" s="1"/>
      <c r="G192" s="2"/>
      <c r="H192" s="2"/>
      <c r="I192" s="2"/>
    </row>
    <row r="193" spans="1:9" customFormat="1">
      <c r="A193" s="2"/>
      <c r="C193" s="2"/>
      <c r="E193" s="1"/>
      <c r="G193" s="2"/>
      <c r="H193" s="2"/>
      <c r="I193" s="2"/>
    </row>
    <row r="194" spans="1:9" customFormat="1">
      <c r="A194" s="2"/>
      <c r="C194" s="2"/>
      <c r="E194" s="1"/>
      <c r="G194" s="2"/>
      <c r="H194" s="2"/>
      <c r="I194" s="2"/>
    </row>
    <row r="195" spans="1:9" customFormat="1">
      <c r="A195" s="2"/>
      <c r="C195" s="2"/>
      <c r="E195" s="1"/>
      <c r="G195" s="2"/>
      <c r="H195" s="2"/>
      <c r="I195" s="2"/>
    </row>
    <row r="196" spans="1:9" customFormat="1">
      <c r="A196" s="2"/>
      <c r="C196" s="2"/>
      <c r="E196" s="1"/>
      <c r="G196" s="2"/>
      <c r="H196" s="2"/>
      <c r="I196" s="2"/>
    </row>
    <row r="197" spans="1:9" customFormat="1">
      <c r="A197" s="2"/>
      <c r="C197" s="2"/>
      <c r="E197" s="1"/>
      <c r="G197" s="2"/>
      <c r="H197" s="2"/>
      <c r="I197" s="2"/>
    </row>
    <row r="198" spans="1:9" customFormat="1">
      <c r="A198" s="2"/>
      <c r="C198" s="2"/>
      <c r="E198" s="1"/>
      <c r="G198" s="2"/>
      <c r="H198" s="2"/>
      <c r="I198" s="2"/>
    </row>
    <row r="199" spans="1:9" customFormat="1">
      <c r="A199" s="2"/>
      <c r="C199" s="2"/>
      <c r="E199" s="1"/>
      <c r="G199" s="2"/>
      <c r="H199" s="2"/>
      <c r="I199" s="2"/>
    </row>
    <row r="200" spans="1:9" customFormat="1">
      <c r="A200" s="2"/>
      <c r="C200" s="2"/>
      <c r="E200" s="1"/>
      <c r="G200" s="2"/>
      <c r="H200" s="2"/>
      <c r="I200" s="2"/>
    </row>
    <row r="201" spans="1:9" customFormat="1">
      <c r="A201" s="2"/>
      <c r="C201" s="2"/>
      <c r="E201" s="1"/>
      <c r="G201" s="2"/>
      <c r="H201" s="2"/>
      <c r="I201" s="2"/>
    </row>
    <row r="202" spans="1:9" customFormat="1">
      <c r="A202" s="2"/>
      <c r="C202" s="2"/>
      <c r="E202" s="1"/>
      <c r="G202" s="2"/>
      <c r="H202" s="2"/>
      <c r="I202" s="2"/>
    </row>
    <row r="203" spans="1:9" customFormat="1">
      <c r="A203" s="2"/>
      <c r="C203" s="2"/>
      <c r="E203" s="1"/>
      <c r="G203" s="2"/>
      <c r="H203" s="2"/>
      <c r="I203" s="2"/>
    </row>
    <row r="204" spans="1:9" customFormat="1">
      <c r="A204" s="2"/>
      <c r="C204" s="2"/>
      <c r="E204" s="1"/>
      <c r="G204" s="2"/>
      <c r="H204" s="2"/>
      <c r="I204" s="2"/>
    </row>
    <row r="205" spans="1:9" customFormat="1">
      <c r="A205" s="2"/>
      <c r="C205" s="2"/>
      <c r="E205" s="1"/>
      <c r="G205" s="2"/>
      <c r="H205" s="2"/>
      <c r="I205" s="2"/>
    </row>
    <row r="206" spans="1:9" customFormat="1">
      <c r="A206" s="2"/>
      <c r="C206" s="2"/>
      <c r="E206" s="1"/>
      <c r="G206" s="2"/>
      <c r="H206" s="2"/>
      <c r="I206" s="2"/>
    </row>
    <row r="207" spans="1:9" customFormat="1">
      <c r="A207" s="2"/>
      <c r="C207" s="2"/>
      <c r="E207" s="1"/>
      <c r="G207" s="2"/>
      <c r="H207" s="2"/>
      <c r="I207" s="2"/>
    </row>
    <row r="208" spans="1:9" customFormat="1">
      <c r="A208" s="2"/>
      <c r="C208" s="2"/>
      <c r="E208" s="1"/>
      <c r="G208" s="2"/>
      <c r="H208" s="2"/>
      <c r="I208" s="2"/>
    </row>
    <row r="209" spans="1:9" customFormat="1">
      <c r="A209" s="2"/>
      <c r="C209" s="2"/>
      <c r="E209" s="1"/>
      <c r="G209" s="2"/>
      <c r="H209" s="2"/>
      <c r="I209" s="2"/>
    </row>
    <row r="210" spans="1:9" customFormat="1">
      <c r="A210" s="2"/>
      <c r="C210" s="2"/>
      <c r="E210" s="1"/>
      <c r="G210" s="2"/>
      <c r="H210" s="2"/>
      <c r="I210" s="2"/>
    </row>
    <row r="211" spans="1:9" customFormat="1">
      <c r="A211" s="2"/>
      <c r="C211" s="2"/>
      <c r="E211" s="1"/>
      <c r="G211" s="2"/>
      <c r="H211" s="2"/>
      <c r="I211" s="2"/>
    </row>
    <row r="212" spans="1:9" customFormat="1">
      <c r="A212" s="2"/>
      <c r="C212" s="2"/>
      <c r="E212" s="1"/>
      <c r="G212" s="2"/>
      <c r="H212" s="2"/>
      <c r="I212" s="2"/>
    </row>
    <row r="213" spans="1:9" customFormat="1">
      <c r="A213" s="2"/>
      <c r="C213" s="2"/>
      <c r="E213" s="1"/>
      <c r="G213" s="2"/>
      <c r="H213" s="2"/>
      <c r="I213" s="2"/>
    </row>
    <row r="214" spans="1:9" customFormat="1">
      <c r="A214" s="2"/>
      <c r="C214" s="2"/>
      <c r="E214" s="1"/>
      <c r="G214" s="2"/>
      <c r="H214" s="2"/>
      <c r="I214" s="2"/>
    </row>
    <row r="215" spans="1:9" customFormat="1">
      <c r="A215" s="2"/>
      <c r="C215" s="2"/>
      <c r="E215" s="1"/>
      <c r="G215" s="2"/>
      <c r="H215" s="2"/>
      <c r="I215" s="2"/>
    </row>
    <row r="216" spans="1:9" customFormat="1">
      <c r="A216" s="2"/>
      <c r="C216" s="2"/>
      <c r="E216" s="1"/>
      <c r="G216" s="2"/>
      <c r="H216" s="2"/>
      <c r="I216" s="2"/>
    </row>
    <row r="217" spans="1:9" customFormat="1">
      <c r="A217" s="2"/>
      <c r="C217" s="2"/>
      <c r="E217" s="1"/>
      <c r="G217" s="2"/>
      <c r="H217" s="2"/>
      <c r="I217" s="2"/>
    </row>
    <row r="218" spans="1:9" customFormat="1">
      <c r="A218" s="2"/>
      <c r="C218" s="2"/>
      <c r="E218" s="1"/>
      <c r="G218" s="2"/>
      <c r="H218" s="2"/>
      <c r="I218" s="2"/>
    </row>
    <row r="219" spans="1:9" customFormat="1">
      <c r="A219" s="2"/>
      <c r="C219" s="2"/>
      <c r="E219" s="1"/>
      <c r="G219" s="2"/>
      <c r="H219" s="2"/>
      <c r="I219" s="2"/>
    </row>
    <row r="220" spans="1:9" customFormat="1">
      <c r="A220" s="2"/>
      <c r="C220" s="2"/>
      <c r="E220" s="1"/>
      <c r="G220" s="2"/>
      <c r="H220" s="2"/>
      <c r="I220" s="2"/>
    </row>
    <row r="221" spans="1:9" customFormat="1">
      <c r="A221" s="2"/>
      <c r="C221" s="2"/>
      <c r="E221" s="1"/>
      <c r="G221" s="2"/>
      <c r="H221" s="2"/>
      <c r="I221" s="2"/>
    </row>
    <row r="222" spans="1:9" customFormat="1">
      <c r="A222" s="2"/>
      <c r="C222" s="2"/>
      <c r="E222" s="1"/>
      <c r="G222" s="2"/>
      <c r="H222" s="2"/>
      <c r="I222" s="2"/>
    </row>
    <row r="223" spans="1:9" customFormat="1">
      <c r="A223" s="2"/>
      <c r="C223" s="2"/>
      <c r="E223" s="1"/>
      <c r="G223" s="2"/>
      <c r="H223" s="2"/>
      <c r="I223" s="2"/>
    </row>
    <row r="224" spans="1:9" customFormat="1">
      <c r="A224" s="2"/>
      <c r="C224" s="2"/>
      <c r="E224" s="1"/>
      <c r="G224" s="2"/>
      <c r="H224" s="2"/>
      <c r="I224" s="2"/>
    </row>
    <row r="225" spans="1:9" customFormat="1">
      <c r="A225" s="2"/>
      <c r="C225" s="2"/>
      <c r="E225" s="1"/>
      <c r="G225" s="2"/>
      <c r="H225" s="2"/>
      <c r="I225" s="2"/>
    </row>
    <row r="226" spans="1:9" customFormat="1">
      <c r="A226" s="2"/>
      <c r="C226" s="2"/>
      <c r="E226" s="1"/>
      <c r="G226" s="2"/>
      <c r="H226" s="2"/>
      <c r="I226" s="2"/>
    </row>
    <row r="227" spans="1:9" customFormat="1">
      <c r="A227" s="2"/>
      <c r="C227" s="2"/>
      <c r="E227" s="1"/>
      <c r="G227" s="2"/>
      <c r="H227" s="2"/>
      <c r="I227" s="2"/>
    </row>
    <row r="228" spans="1:9" customFormat="1">
      <c r="A228" s="2"/>
      <c r="C228" s="2"/>
      <c r="E228" s="1"/>
      <c r="G228" s="2"/>
      <c r="H228" s="2"/>
      <c r="I228" s="2"/>
    </row>
    <row r="229" spans="1:9" customFormat="1">
      <c r="A229" s="2"/>
      <c r="C229" s="2"/>
      <c r="E229" s="1"/>
      <c r="G229" s="2"/>
      <c r="H229" s="2"/>
      <c r="I229" s="2"/>
    </row>
    <row r="230" spans="1:9" customFormat="1">
      <c r="A230" s="2"/>
      <c r="C230" s="2"/>
      <c r="E230" s="1"/>
      <c r="G230" s="2"/>
      <c r="H230" s="2"/>
      <c r="I230" s="2"/>
    </row>
    <row r="231" spans="1:9" customFormat="1">
      <c r="A231" s="2"/>
      <c r="C231" s="2"/>
      <c r="E231" s="1"/>
      <c r="G231" s="2"/>
      <c r="H231" s="2"/>
      <c r="I231" s="2"/>
    </row>
    <row r="232" spans="1:9" customFormat="1">
      <c r="A232" s="2"/>
      <c r="C232" s="2"/>
      <c r="E232" s="1"/>
      <c r="G232" s="2"/>
      <c r="H232" s="2"/>
      <c r="I232" s="2"/>
    </row>
    <row r="233" spans="1:9" customFormat="1">
      <c r="A233" s="2"/>
      <c r="C233" s="2"/>
      <c r="E233" s="1"/>
      <c r="G233" s="2"/>
      <c r="H233" s="2"/>
      <c r="I233" s="2"/>
    </row>
    <row r="234" spans="1:9" customFormat="1">
      <c r="A234" s="2"/>
      <c r="C234" s="2"/>
      <c r="E234" s="1"/>
      <c r="G234" s="2"/>
      <c r="H234" s="2"/>
      <c r="I234" s="2"/>
    </row>
    <row r="235" spans="1:9" customFormat="1">
      <c r="A235" s="2"/>
      <c r="C235" s="2"/>
      <c r="E235" s="1"/>
      <c r="G235" s="2"/>
      <c r="H235" s="2"/>
      <c r="I235" s="2"/>
    </row>
    <row r="236" spans="1:9" customFormat="1">
      <c r="A236" s="2"/>
      <c r="C236" s="2"/>
      <c r="E236" s="1"/>
      <c r="G236" s="2"/>
      <c r="H236" s="2"/>
      <c r="I236" s="2"/>
    </row>
    <row r="237" spans="1:9" customFormat="1">
      <c r="A237" s="2"/>
      <c r="C237" s="2"/>
      <c r="E237" s="1"/>
      <c r="G237" s="2"/>
      <c r="H237" s="2"/>
      <c r="I237" s="2"/>
    </row>
    <row r="238" spans="1:9" customFormat="1">
      <c r="A238" s="2"/>
      <c r="C238" s="2"/>
      <c r="E238" s="1"/>
      <c r="G238" s="2"/>
      <c r="H238" s="2"/>
      <c r="I238" s="2"/>
    </row>
    <row r="239" spans="1:9" customFormat="1">
      <c r="A239" s="2"/>
      <c r="C239" s="2"/>
      <c r="E239" s="1"/>
      <c r="G239" s="2"/>
      <c r="H239" s="2"/>
      <c r="I239" s="2"/>
    </row>
    <row r="240" spans="1:9" customFormat="1">
      <c r="A240" s="2"/>
      <c r="C240" s="2"/>
      <c r="E240" s="1"/>
      <c r="G240" s="2"/>
      <c r="H240" s="2"/>
      <c r="I240" s="2"/>
    </row>
    <row r="241" spans="1:9" customFormat="1">
      <c r="A241" s="2"/>
      <c r="C241" s="2"/>
      <c r="E241" s="1"/>
      <c r="G241" s="2"/>
      <c r="H241" s="2"/>
      <c r="I241" s="2"/>
    </row>
    <row r="242" spans="1:9" customFormat="1">
      <c r="A242" s="2"/>
      <c r="C242" s="2"/>
      <c r="E242" s="1"/>
      <c r="G242" s="2"/>
      <c r="H242" s="2"/>
      <c r="I242" s="2"/>
    </row>
    <row r="243" spans="1:9" customFormat="1">
      <c r="A243" s="2"/>
      <c r="C243" s="2"/>
      <c r="E243" s="1"/>
      <c r="G243" s="2"/>
      <c r="H243" s="2"/>
      <c r="I243" s="2"/>
    </row>
    <row r="244" spans="1:9" customFormat="1">
      <c r="A244" s="2"/>
      <c r="C244" s="2"/>
      <c r="E244" s="1"/>
      <c r="G244" s="2"/>
      <c r="H244" s="2"/>
      <c r="I244" s="2"/>
    </row>
    <row r="245" spans="1:9" customFormat="1">
      <c r="A245" s="2"/>
      <c r="C245" s="2"/>
      <c r="E245" s="1"/>
      <c r="G245" s="2"/>
      <c r="H245" s="2"/>
      <c r="I245" s="2"/>
    </row>
    <row r="246" spans="1:9" customFormat="1">
      <c r="A246" s="2"/>
      <c r="C246" s="2"/>
      <c r="E246" s="1"/>
      <c r="G246" s="2"/>
      <c r="H246" s="2"/>
      <c r="I246" s="2"/>
    </row>
    <row r="247" spans="1:9" customFormat="1">
      <c r="A247" s="2"/>
      <c r="C247" s="2"/>
      <c r="E247" s="1"/>
      <c r="G247" s="2"/>
      <c r="H247" s="2"/>
      <c r="I247" s="2"/>
    </row>
    <row r="248" spans="1:9" customFormat="1">
      <c r="A248" s="2"/>
      <c r="C248" s="2"/>
      <c r="E248" s="1"/>
      <c r="G248" s="2"/>
      <c r="H248" s="2"/>
      <c r="I248" s="2"/>
    </row>
    <row r="249" spans="1:9" customFormat="1">
      <c r="A249" s="2"/>
      <c r="C249" s="2"/>
      <c r="E249" s="1"/>
      <c r="G249" s="2"/>
      <c r="H249" s="2"/>
      <c r="I249" s="2"/>
    </row>
    <row r="250" spans="1:9" customFormat="1">
      <c r="A250" s="2"/>
      <c r="C250" s="2"/>
      <c r="E250" s="1"/>
      <c r="G250" s="2"/>
      <c r="H250" s="2"/>
      <c r="I250" s="2"/>
    </row>
    <row r="251" spans="1:9" customFormat="1">
      <c r="A251" s="2"/>
      <c r="C251" s="2"/>
      <c r="E251" s="1"/>
      <c r="G251" s="2"/>
      <c r="H251" s="2"/>
      <c r="I251" s="2"/>
    </row>
    <row r="252" spans="1:9" customFormat="1">
      <c r="A252" s="2"/>
      <c r="C252" s="2"/>
      <c r="E252" s="1"/>
      <c r="G252" s="2"/>
      <c r="H252" s="2"/>
      <c r="I252" s="2"/>
    </row>
    <row r="253" spans="1:9" customFormat="1">
      <c r="A253" s="2"/>
      <c r="C253" s="2"/>
      <c r="E253" s="1"/>
      <c r="G253" s="2"/>
      <c r="H253" s="2"/>
      <c r="I253" s="2"/>
    </row>
    <row r="254" spans="1:9" customFormat="1">
      <c r="A254" s="2"/>
      <c r="C254" s="2"/>
      <c r="E254" s="1"/>
      <c r="G254" s="2"/>
      <c r="H254" s="2"/>
      <c r="I254" s="2"/>
    </row>
    <row r="255" spans="1:9" customFormat="1">
      <c r="A255" s="2"/>
      <c r="C255" s="2"/>
      <c r="E255" s="1"/>
      <c r="G255" s="2"/>
      <c r="H255" s="2"/>
      <c r="I255" s="2"/>
    </row>
    <row r="256" spans="1:9" customFormat="1">
      <c r="A256" s="2"/>
      <c r="C256" s="2"/>
      <c r="E256" s="1"/>
      <c r="G256" s="2"/>
      <c r="H256" s="2"/>
      <c r="I256" s="2"/>
    </row>
    <row r="257" spans="1:9" customFormat="1">
      <c r="A257" s="2"/>
      <c r="C257" s="2"/>
      <c r="E257" s="1"/>
      <c r="G257" s="2"/>
      <c r="H257" s="2"/>
      <c r="I257" s="2"/>
    </row>
    <row r="258" spans="1:9" customFormat="1">
      <c r="A258" s="2"/>
      <c r="C258" s="2"/>
      <c r="E258" s="1"/>
      <c r="G258" s="2"/>
      <c r="H258" s="2"/>
      <c r="I258" s="2"/>
    </row>
    <row r="259" spans="1:9" customFormat="1">
      <c r="A259" s="2"/>
      <c r="C259" s="2"/>
      <c r="E259" s="1"/>
      <c r="G259" s="2"/>
      <c r="H259" s="2"/>
      <c r="I259" s="2"/>
    </row>
    <row r="260" spans="1:9" customFormat="1">
      <c r="A260" s="2"/>
      <c r="C260" s="2"/>
      <c r="E260" s="1"/>
      <c r="G260" s="2"/>
      <c r="H260" s="2"/>
      <c r="I260" s="2"/>
    </row>
    <row r="261" spans="1:9" customFormat="1">
      <c r="A261" s="2"/>
      <c r="C261" s="2"/>
      <c r="E261" s="1"/>
      <c r="G261" s="2"/>
      <c r="H261" s="2"/>
      <c r="I261" s="2"/>
    </row>
    <row r="262" spans="1:9" customFormat="1">
      <c r="A262" s="2"/>
      <c r="C262" s="2"/>
      <c r="E262" s="1"/>
      <c r="G262" s="2"/>
      <c r="H262" s="2"/>
      <c r="I262" s="2"/>
    </row>
    <row r="263" spans="1:9" customFormat="1">
      <c r="A263" s="2"/>
      <c r="C263" s="2"/>
      <c r="E263" s="1"/>
      <c r="G263" s="2"/>
      <c r="H263" s="2"/>
      <c r="I263" s="2"/>
    </row>
    <row r="264" spans="1:9" customFormat="1">
      <c r="A264" s="2"/>
      <c r="C264" s="2"/>
      <c r="E264" s="1"/>
      <c r="G264" s="2"/>
      <c r="H264" s="2"/>
      <c r="I264" s="2"/>
    </row>
    <row r="265" spans="1:9" customFormat="1">
      <c r="A265" s="2"/>
      <c r="C265" s="2"/>
      <c r="E265" s="1"/>
      <c r="G265" s="2"/>
      <c r="H265" s="2"/>
      <c r="I265" s="2"/>
    </row>
    <row r="266" spans="1:9" customFormat="1">
      <c r="A266" s="2"/>
      <c r="C266" s="2"/>
      <c r="E266" s="1"/>
      <c r="G266" s="2"/>
      <c r="H266" s="2"/>
      <c r="I266" s="2"/>
    </row>
    <row r="267" spans="1:9" customFormat="1">
      <c r="A267" s="2"/>
      <c r="C267" s="2"/>
      <c r="E267" s="1"/>
      <c r="G267" s="2"/>
      <c r="H267" s="2"/>
      <c r="I267" s="2"/>
    </row>
    <row r="268" spans="1:9" customFormat="1">
      <c r="A268" s="2"/>
      <c r="C268" s="2"/>
      <c r="E268" s="1"/>
      <c r="G268" s="2"/>
      <c r="H268" s="2"/>
      <c r="I268" s="2"/>
    </row>
    <row r="269" spans="1:9" customFormat="1">
      <c r="A269" s="2"/>
      <c r="C269" s="2"/>
      <c r="E269" s="1"/>
      <c r="G269" s="2"/>
      <c r="H269" s="2"/>
      <c r="I269" s="2"/>
    </row>
    <row r="270" spans="1:9" customFormat="1">
      <c r="A270" s="2"/>
      <c r="C270" s="2"/>
      <c r="E270" s="1"/>
      <c r="G270" s="2"/>
      <c r="H270" s="2"/>
      <c r="I270" s="2"/>
    </row>
    <row r="271" spans="1:9" customFormat="1">
      <c r="A271" s="2"/>
      <c r="C271" s="2"/>
      <c r="E271" s="1"/>
      <c r="G271" s="2"/>
      <c r="H271" s="2"/>
      <c r="I271" s="2"/>
    </row>
    <row r="272" spans="1:9" customFormat="1">
      <c r="A272" s="2"/>
      <c r="C272" s="2"/>
      <c r="E272" s="1"/>
      <c r="G272" s="2"/>
      <c r="H272" s="2"/>
      <c r="I272" s="2"/>
    </row>
    <row r="273" spans="1:9" customFormat="1">
      <c r="A273" s="2"/>
      <c r="C273" s="2"/>
      <c r="E273" s="1"/>
      <c r="G273" s="2"/>
      <c r="H273" s="2"/>
      <c r="I273" s="2"/>
    </row>
    <row r="274" spans="1:9" customFormat="1">
      <c r="A274" s="2"/>
      <c r="C274" s="2"/>
      <c r="E274" s="1"/>
      <c r="G274" s="2"/>
      <c r="H274" s="2"/>
      <c r="I274" s="2"/>
    </row>
    <row r="275" spans="1:9" customFormat="1">
      <c r="A275" s="2"/>
      <c r="C275" s="2"/>
      <c r="E275" s="1"/>
      <c r="G275" s="2"/>
      <c r="H275" s="2"/>
      <c r="I275" s="2"/>
    </row>
    <row r="276" spans="1:9" customFormat="1">
      <c r="A276" s="2"/>
      <c r="C276" s="2"/>
      <c r="E276" s="1"/>
      <c r="G276" s="2"/>
      <c r="H276" s="2"/>
      <c r="I276" s="2"/>
    </row>
    <row r="277" spans="1:9" customFormat="1">
      <c r="A277" s="2"/>
      <c r="C277" s="2"/>
      <c r="E277" s="1"/>
      <c r="G277" s="2"/>
      <c r="H277" s="2"/>
      <c r="I277" s="2"/>
    </row>
    <row r="278" spans="1:9" customFormat="1">
      <c r="A278" s="2"/>
      <c r="C278" s="2"/>
      <c r="E278" s="1"/>
      <c r="G278" s="2"/>
      <c r="H278" s="2"/>
      <c r="I278" s="2"/>
    </row>
    <row r="279" spans="1:9" customFormat="1">
      <c r="A279" s="2"/>
      <c r="C279" s="2"/>
      <c r="E279" s="1"/>
      <c r="G279" s="2"/>
      <c r="H279" s="2"/>
      <c r="I279" s="2"/>
    </row>
    <row r="280" spans="1:9" customFormat="1">
      <c r="A280" s="2"/>
      <c r="C280" s="2"/>
      <c r="E280" s="1"/>
      <c r="G280" s="2"/>
      <c r="H280" s="2"/>
      <c r="I280" s="2"/>
    </row>
    <row r="281" spans="1:9" customFormat="1">
      <c r="A281" s="2"/>
      <c r="C281" s="2"/>
      <c r="E281" s="1"/>
      <c r="G281" s="2"/>
      <c r="H281" s="2"/>
      <c r="I281" s="2"/>
    </row>
    <row r="282" spans="1:9" customFormat="1">
      <c r="A282" s="2"/>
      <c r="C282" s="2"/>
      <c r="E282" s="1"/>
      <c r="G282" s="2"/>
      <c r="H282" s="2"/>
      <c r="I282" s="2"/>
    </row>
    <row r="283" spans="1:9" customFormat="1">
      <c r="A283" s="2"/>
      <c r="C283" s="2"/>
      <c r="E283" s="1"/>
      <c r="G283" s="2"/>
      <c r="H283" s="2"/>
      <c r="I283" s="2"/>
    </row>
    <row r="284" spans="1:9" customFormat="1">
      <c r="A284" s="2"/>
      <c r="C284" s="2"/>
      <c r="E284" s="1"/>
      <c r="G284" s="2"/>
      <c r="H284" s="2"/>
      <c r="I284" s="2"/>
    </row>
    <row r="285" spans="1:9" customFormat="1">
      <c r="A285" s="2"/>
      <c r="C285" s="2"/>
      <c r="E285" s="1"/>
      <c r="G285" s="2"/>
      <c r="H285" s="2"/>
      <c r="I285" s="2"/>
    </row>
    <row r="286" spans="1:9" customFormat="1">
      <c r="A286" s="2"/>
      <c r="C286" s="2"/>
      <c r="E286" s="1"/>
      <c r="G286" s="2"/>
      <c r="H286" s="2"/>
      <c r="I286" s="2"/>
    </row>
    <row r="287" spans="1:9" customFormat="1">
      <c r="A287" s="2"/>
      <c r="C287" s="2"/>
      <c r="E287" s="1"/>
      <c r="G287" s="2"/>
      <c r="H287" s="2"/>
      <c r="I287" s="2"/>
    </row>
    <row r="288" spans="1:9" customFormat="1">
      <c r="A288" s="2"/>
      <c r="C288" s="2"/>
      <c r="E288" s="1"/>
      <c r="G288" s="2"/>
      <c r="H288" s="2"/>
      <c r="I288" s="2"/>
    </row>
    <row r="289" spans="1:9" customFormat="1">
      <c r="A289" s="2"/>
      <c r="C289" s="2"/>
      <c r="E289" s="1"/>
      <c r="G289" s="2"/>
      <c r="H289" s="2"/>
      <c r="I289" s="2"/>
    </row>
    <row r="290" spans="1:9" customFormat="1">
      <c r="A290" s="2"/>
      <c r="C290" s="2"/>
      <c r="E290" s="1"/>
      <c r="G290" s="2"/>
      <c r="H290" s="2"/>
      <c r="I290" s="2"/>
    </row>
    <row r="291" spans="1:9" customFormat="1">
      <c r="A291" s="2"/>
      <c r="C291" s="2"/>
      <c r="E291" s="1"/>
      <c r="G291" s="2"/>
      <c r="H291" s="2"/>
      <c r="I291" s="2"/>
    </row>
    <row r="292" spans="1:9" customFormat="1">
      <c r="A292" s="2"/>
      <c r="C292" s="2"/>
      <c r="E292" s="1"/>
      <c r="G292" s="2"/>
      <c r="H292" s="2"/>
      <c r="I292" s="2"/>
    </row>
    <row r="293" spans="1:9" customFormat="1">
      <c r="A293" s="2"/>
      <c r="C293" s="2"/>
      <c r="E293" s="1"/>
      <c r="G293" s="2"/>
      <c r="H293" s="2"/>
      <c r="I293" s="2"/>
    </row>
    <row r="294" spans="1:9" customFormat="1">
      <c r="A294" s="2"/>
      <c r="C294" s="2"/>
      <c r="E294" s="1"/>
      <c r="G294" s="2"/>
      <c r="H294" s="2"/>
      <c r="I294" s="2"/>
    </row>
    <row r="295" spans="1:9" customFormat="1">
      <c r="A295" s="2"/>
      <c r="C295" s="2"/>
      <c r="E295" s="1"/>
      <c r="G295" s="2"/>
      <c r="H295" s="2"/>
      <c r="I295" s="2"/>
    </row>
    <row r="296" spans="1:9" customFormat="1">
      <c r="A296" s="2"/>
      <c r="C296" s="2"/>
      <c r="E296" s="1"/>
      <c r="G296" s="2"/>
      <c r="H296" s="2"/>
      <c r="I296" s="2"/>
    </row>
    <row r="297" spans="1:9" customFormat="1">
      <c r="A297" s="2"/>
      <c r="C297" s="2"/>
      <c r="E297" s="1"/>
      <c r="G297" s="2"/>
      <c r="H297" s="2"/>
      <c r="I297" s="2"/>
    </row>
    <row r="298" spans="1:9" customFormat="1">
      <c r="A298" s="2"/>
      <c r="C298" s="2"/>
      <c r="E298" s="1"/>
      <c r="G298" s="2"/>
      <c r="H298" s="2"/>
      <c r="I298" s="2"/>
    </row>
    <row r="299" spans="1:9" customFormat="1">
      <c r="A299" s="2"/>
      <c r="C299" s="2"/>
      <c r="E299" s="1"/>
      <c r="G299" s="2"/>
      <c r="H299" s="2"/>
      <c r="I299" s="2"/>
    </row>
    <row r="300" spans="1:9" customFormat="1">
      <c r="A300" s="2"/>
      <c r="C300" s="2"/>
      <c r="E300" s="1"/>
      <c r="G300" s="2"/>
      <c r="H300" s="2"/>
      <c r="I300" s="2"/>
    </row>
    <row r="301" spans="1:9" customFormat="1">
      <c r="A301" s="2"/>
      <c r="C301" s="2"/>
      <c r="E301" s="1"/>
      <c r="G301" s="2"/>
      <c r="H301" s="2"/>
      <c r="I301" s="2"/>
    </row>
    <row r="302" spans="1:9" customFormat="1">
      <c r="A302" s="2"/>
      <c r="C302" s="2"/>
      <c r="E302" s="1"/>
      <c r="G302" s="2"/>
      <c r="H302" s="2"/>
      <c r="I302" s="2"/>
    </row>
    <row r="303" spans="1:9" customFormat="1">
      <c r="A303" s="2"/>
      <c r="C303" s="2"/>
      <c r="E303" s="1"/>
      <c r="G303" s="2"/>
      <c r="H303" s="2"/>
      <c r="I303" s="2"/>
    </row>
    <row r="304" spans="1:9" customFormat="1">
      <c r="A304" s="2"/>
      <c r="C304" s="2"/>
      <c r="E304" s="1"/>
      <c r="G304" s="2"/>
      <c r="H304" s="2"/>
      <c r="I304" s="2"/>
    </row>
    <row r="305" spans="1:9" customFormat="1">
      <c r="A305" s="2"/>
      <c r="C305" s="2"/>
      <c r="E305" s="1"/>
      <c r="G305" s="2"/>
      <c r="H305" s="2"/>
      <c r="I305" s="2"/>
    </row>
    <row r="306" spans="1:9" customFormat="1">
      <c r="A306" s="2"/>
      <c r="C306" s="2"/>
      <c r="E306" s="1"/>
      <c r="G306" s="2"/>
      <c r="H306" s="2"/>
      <c r="I306" s="2"/>
    </row>
    <row r="307" spans="1:9" customFormat="1">
      <c r="A307" s="2"/>
      <c r="C307" s="2"/>
      <c r="E307" s="1"/>
      <c r="G307" s="2"/>
      <c r="H307" s="2"/>
      <c r="I307" s="2"/>
    </row>
    <row r="308" spans="1:9" customFormat="1">
      <c r="A308" s="2"/>
      <c r="C308" s="2"/>
      <c r="E308" s="1"/>
      <c r="G308" s="2"/>
      <c r="H308" s="2"/>
      <c r="I308" s="2"/>
    </row>
    <row r="309" spans="1:9" customFormat="1">
      <c r="A309" s="2"/>
      <c r="C309" s="2"/>
      <c r="E309" s="1"/>
      <c r="G309" s="2"/>
      <c r="H309" s="2"/>
      <c r="I309" s="2"/>
    </row>
    <row r="310" spans="1:9" customFormat="1">
      <c r="A310" s="2"/>
      <c r="C310" s="2"/>
      <c r="E310" s="1"/>
      <c r="G310" s="2"/>
      <c r="H310" s="2"/>
      <c r="I310" s="2"/>
    </row>
    <row r="311" spans="1:9" customFormat="1">
      <c r="A311" s="2"/>
      <c r="C311" s="2"/>
      <c r="E311" s="1"/>
      <c r="G311" s="2"/>
      <c r="H311" s="2"/>
      <c r="I311" s="2"/>
    </row>
    <row r="312" spans="1:9" customFormat="1">
      <c r="A312" s="2"/>
      <c r="C312" s="2"/>
      <c r="E312" s="1"/>
      <c r="G312" s="2"/>
      <c r="H312" s="2"/>
      <c r="I312" s="2"/>
    </row>
    <row r="313" spans="1:9" customFormat="1">
      <c r="A313" s="2"/>
      <c r="C313" s="2"/>
      <c r="E313" s="1"/>
      <c r="G313" s="2"/>
      <c r="H313" s="2"/>
      <c r="I313" s="2"/>
    </row>
    <row r="314" spans="1:9" customFormat="1">
      <c r="A314" s="2"/>
      <c r="C314" s="2"/>
      <c r="E314" s="1"/>
      <c r="G314" s="2"/>
      <c r="H314" s="2"/>
      <c r="I314" s="2"/>
    </row>
    <row r="315" spans="1:9" customFormat="1">
      <c r="A315" s="2"/>
      <c r="C315" s="2"/>
      <c r="E315" s="1"/>
      <c r="G315" s="2"/>
      <c r="H315" s="2"/>
      <c r="I315" s="2"/>
    </row>
    <row r="316" spans="1:9" customFormat="1">
      <c r="A316" s="2"/>
      <c r="C316" s="2"/>
      <c r="E316" s="1"/>
      <c r="G316" s="2"/>
      <c r="H316" s="2"/>
      <c r="I316" s="2"/>
    </row>
    <row r="317" spans="1:9" customFormat="1">
      <c r="A317" s="2"/>
      <c r="C317" s="2"/>
      <c r="E317" s="1"/>
      <c r="G317" s="2"/>
      <c r="H317" s="2"/>
      <c r="I317" s="2"/>
    </row>
    <row r="318" spans="1:9" customFormat="1">
      <c r="A318" s="2"/>
      <c r="C318" s="2"/>
      <c r="E318" s="1"/>
      <c r="G318" s="2"/>
      <c r="H318" s="2"/>
      <c r="I318" s="2"/>
    </row>
    <row r="319" spans="1:9" customFormat="1">
      <c r="A319" s="2"/>
      <c r="C319" s="2"/>
      <c r="E319" s="1"/>
      <c r="G319" s="2"/>
      <c r="H319" s="2"/>
      <c r="I319" s="2"/>
    </row>
    <row r="320" spans="1:9" customFormat="1">
      <c r="A320" s="2"/>
      <c r="C320" s="2"/>
      <c r="E320" s="1"/>
      <c r="G320" s="2"/>
      <c r="H320" s="2"/>
      <c r="I320" s="2"/>
    </row>
    <row r="321" spans="1:9" customFormat="1">
      <c r="A321" s="2"/>
      <c r="C321" s="2"/>
      <c r="E321" s="1"/>
      <c r="G321" s="2"/>
      <c r="H321" s="2"/>
      <c r="I321" s="2"/>
    </row>
    <row r="322" spans="1:9" customFormat="1">
      <c r="A322" s="2"/>
      <c r="C322" s="2"/>
      <c r="E322" s="1"/>
      <c r="G322" s="2"/>
      <c r="H322" s="2"/>
      <c r="I322" s="2"/>
    </row>
    <row r="323" spans="1:9" customFormat="1">
      <c r="A323" s="2"/>
      <c r="C323" s="2"/>
      <c r="E323" s="1"/>
      <c r="G323" s="2"/>
      <c r="H323" s="2"/>
      <c r="I323" s="2"/>
    </row>
    <row r="324" spans="1:9" customFormat="1">
      <c r="A324" s="2"/>
      <c r="C324" s="2"/>
      <c r="E324" s="1"/>
      <c r="G324" s="2"/>
      <c r="H324" s="2"/>
      <c r="I324" s="2"/>
    </row>
    <row r="325" spans="1:9" customFormat="1">
      <c r="A325" s="2"/>
      <c r="C325" s="2"/>
      <c r="E325" s="1"/>
      <c r="G325" s="2"/>
      <c r="H325" s="2"/>
      <c r="I325" s="2"/>
    </row>
    <row r="326" spans="1:9" customFormat="1">
      <c r="A326" s="2"/>
      <c r="C326" s="2"/>
      <c r="E326" s="1"/>
      <c r="G326" s="2"/>
      <c r="H326" s="2"/>
      <c r="I326" s="2"/>
    </row>
    <row r="327" spans="1:9" customFormat="1">
      <c r="A327" s="2"/>
      <c r="C327" s="2"/>
      <c r="E327" s="1"/>
      <c r="G327" s="2"/>
      <c r="H327" s="2"/>
      <c r="I327" s="2"/>
    </row>
    <row r="328" spans="1:9" customFormat="1">
      <c r="A328" s="2"/>
      <c r="C328" s="2"/>
      <c r="E328" s="1"/>
      <c r="G328" s="2"/>
      <c r="H328" s="2"/>
      <c r="I328" s="2"/>
    </row>
    <row r="329" spans="1:9" customFormat="1">
      <c r="A329" s="2"/>
      <c r="C329" s="2"/>
      <c r="E329" s="1"/>
      <c r="G329" s="2"/>
      <c r="H329" s="2"/>
      <c r="I329" s="2"/>
    </row>
    <row r="330" spans="1:9" customFormat="1">
      <c r="A330" s="2"/>
      <c r="C330" s="2"/>
      <c r="E330" s="1"/>
      <c r="G330" s="2"/>
      <c r="H330" s="2"/>
      <c r="I330" s="2"/>
    </row>
    <row r="331" spans="1:9" customFormat="1">
      <c r="A331" s="2"/>
      <c r="C331" s="2"/>
      <c r="E331" s="1"/>
      <c r="G331" s="2"/>
      <c r="H331" s="2"/>
      <c r="I331" s="2"/>
    </row>
    <row r="332" spans="1:9" customFormat="1">
      <c r="A332" s="2"/>
      <c r="C332" s="2"/>
      <c r="E332" s="1"/>
      <c r="G332" s="2"/>
      <c r="H332" s="2"/>
      <c r="I332" s="2"/>
    </row>
    <row r="333" spans="1:9" customFormat="1">
      <c r="A333" s="2"/>
      <c r="C333" s="2"/>
      <c r="E333" s="1"/>
      <c r="G333" s="2"/>
      <c r="H333" s="2"/>
      <c r="I333" s="2"/>
    </row>
    <row r="334" spans="1:9" customFormat="1">
      <c r="A334" s="2"/>
      <c r="C334" s="2"/>
      <c r="E334" s="1"/>
      <c r="G334" s="2"/>
      <c r="H334" s="2"/>
      <c r="I334" s="2"/>
    </row>
    <row r="335" spans="1:9" customFormat="1">
      <c r="A335" s="2"/>
      <c r="C335" s="2"/>
      <c r="E335" s="1"/>
      <c r="G335" s="2"/>
      <c r="H335" s="2"/>
      <c r="I335" s="2"/>
    </row>
    <row r="336" spans="1:9" customFormat="1">
      <c r="A336" s="2"/>
      <c r="C336" s="2"/>
      <c r="E336" s="1"/>
      <c r="G336" s="2"/>
      <c r="H336" s="2"/>
      <c r="I336" s="2"/>
    </row>
    <row r="337" spans="1:9" customFormat="1">
      <c r="A337" s="2"/>
      <c r="C337" s="2"/>
      <c r="E337" s="1"/>
      <c r="G337" s="2"/>
      <c r="H337" s="2"/>
      <c r="I337" s="2"/>
    </row>
    <row r="338" spans="1:9" customFormat="1">
      <c r="A338" s="2"/>
      <c r="C338" s="2"/>
      <c r="E338" s="1"/>
      <c r="G338" s="2"/>
      <c r="H338" s="2"/>
      <c r="I338" s="2"/>
    </row>
    <row r="339" spans="1:9" customFormat="1">
      <c r="A339" s="2"/>
      <c r="C339" s="2"/>
      <c r="E339" s="1"/>
      <c r="G339" s="2"/>
      <c r="H339" s="2"/>
      <c r="I339" s="2"/>
    </row>
    <row r="340" spans="1:9" customFormat="1">
      <c r="A340" s="2"/>
      <c r="C340" s="2"/>
      <c r="E340" s="1"/>
      <c r="G340" s="2"/>
      <c r="H340" s="2"/>
      <c r="I340" s="2"/>
    </row>
    <row r="341" spans="1:9" customFormat="1">
      <c r="A341" s="2"/>
      <c r="C341" s="2"/>
      <c r="E341" s="1"/>
      <c r="G341" s="2"/>
      <c r="H341" s="2"/>
      <c r="I341" s="2"/>
    </row>
    <row r="342" spans="1:9" customFormat="1">
      <c r="A342" s="2"/>
      <c r="C342" s="2"/>
      <c r="E342" s="1"/>
      <c r="G342" s="2"/>
      <c r="H342" s="2"/>
      <c r="I342" s="2"/>
    </row>
    <row r="343" spans="1:9" customFormat="1">
      <c r="A343" s="2"/>
      <c r="C343" s="2"/>
      <c r="E343" s="1"/>
      <c r="G343" s="2"/>
      <c r="H343" s="2"/>
      <c r="I343" s="2"/>
    </row>
    <row r="344" spans="1:9" customFormat="1">
      <c r="A344" s="2"/>
      <c r="C344" s="2"/>
      <c r="E344" s="1"/>
      <c r="G344" s="2"/>
      <c r="H344" s="2"/>
      <c r="I344" s="2"/>
    </row>
    <row r="345" spans="1:9" customFormat="1">
      <c r="A345" s="2"/>
      <c r="C345" s="2"/>
      <c r="E345" s="1"/>
      <c r="G345" s="2"/>
      <c r="H345" s="2"/>
      <c r="I345" s="2"/>
    </row>
    <row r="346" spans="1:9" customFormat="1">
      <c r="A346" s="2"/>
      <c r="C346" s="2"/>
      <c r="E346" s="1"/>
      <c r="G346" s="2"/>
      <c r="H346" s="2"/>
      <c r="I346" s="2"/>
    </row>
    <row r="347" spans="1:9" customFormat="1">
      <c r="A347" s="2"/>
      <c r="C347" s="2"/>
      <c r="E347" s="1"/>
      <c r="G347" s="2"/>
      <c r="H347" s="2"/>
      <c r="I347" s="2"/>
    </row>
    <row r="348" spans="1:9" customFormat="1">
      <c r="A348" s="2"/>
      <c r="C348" s="2"/>
      <c r="E348" s="1"/>
      <c r="G348" s="2"/>
      <c r="H348" s="2"/>
      <c r="I348" s="2"/>
    </row>
    <row r="349" spans="1:9" customFormat="1">
      <c r="A349" s="2"/>
      <c r="C349" s="2"/>
      <c r="E349" s="1"/>
      <c r="G349" s="2"/>
      <c r="H349" s="2"/>
      <c r="I349" s="2"/>
    </row>
    <row r="350" spans="1:9" customFormat="1">
      <c r="A350" s="2"/>
      <c r="C350" s="2"/>
      <c r="E350" s="1"/>
      <c r="G350" s="2"/>
      <c r="H350" s="2"/>
      <c r="I350" s="2"/>
    </row>
    <row r="351" spans="1:9" customFormat="1">
      <c r="A351" s="2"/>
      <c r="C351" s="2"/>
      <c r="E351" s="1"/>
      <c r="G351" s="2"/>
      <c r="H351" s="2"/>
      <c r="I351" s="2"/>
    </row>
    <row r="352" spans="1:9" customFormat="1">
      <c r="A352" s="2"/>
      <c r="C352" s="2"/>
      <c r="E352" s="1"/>
      <c r="G352" s="2"/>
      <c r="H352" s="2"/>
      <c r="I352" s="2"/>
    </row>
    <row r="353" spans="1:9" customFormat="1">
      <c r="A353" s="2"/>
      <c r="C353" s="2"/>
      <c r="E353" s="1"/>
      <c r="G353" s="2"/>
      <c r="H353" s="2"/>
      <c r="I353" s="2"/>
    </row>
    <row r="354" spans="1:9" customFormat="1">
      <c r="A354" s="2"/>
      <c r="C354" s="2"/>
      <c r="E354" s="1"/>
      <c r="G354" s="2"/>
      <c r="H354" s="2"/>
      <c r="I354" s="2"/>
    </row>
    <row r="355" spans="1:9" customFormat="1">
      <c r="A355" s="2"/>
      <c r="C355" s="2"/>
      <c r="E355" s="1"/>
      <c r="G355" s="2"/>
      <c r="H355" s="2"/>
      <c r="I355" s="2"/>
    </row>
    <row r="356" spans="1:9" customFormat="1">
      <c r="A356" s="2"/>
      <c r="C356" s="2"/>
      <c r="E356" s="1"/>
      <c r="G356" s="2"/>
      <c r="H356" s="2"/>
      <c r="I356" s="2"/>
    </row>
    <row r="357" spans="1:9" customFormat="1">
      <c r="A357" s="2"/>
      <c r="C357" s="2"/>
      <c r="E357" s="1"/>
      <c r="G357" s="2"/>
      <c r="H357" s="2"/>
      <c r="I357" s="2"/>
    </row>
    <row r="358" spans="1:9" customFormat="1">
      <c r="A358" s="2"/>
      <c r="C358" s="2"/>
      <c r="E358" s="1"/>
      <c r="G358" s="2"/>
      <c r="H358" s="2"/>
      <c r="I358" s="2"/>
    </row>
    <row r="359" spans="1:9" customFormat="1">
      <c r="A359" s="2"/>
      <c r="C359" s="2"/>
      <c r="E359" s="1"/>
      <c r="G359" s="2"/>
      <c r="H359" s="2"/>
      <c r="I359" s="2"/>
    </row>
    <row r="360" spans="1:9" customFormat="1">
      <c r="A360" s="2"/>
      <c r="C360" s="2"/>
      <c r="E360" s="1"/>
      <c r="G360" s="2"/>
      <c r="H360" s="2"/>
      <c r="I360" s="2"/>
    </row>
    <row r="361" spans="1:9" customFormat="1">
      <c r="A361" s="2"/>
      <c r="C361" s="2"/>
      <c r="E361" s="1"/>
      <c r="G361" s="2"/>
      <c r="H361" s="2"/>
      <c r="I361" s="2"/>
    </row>
    <row r="362" spans="1:9" customFormat="1">
      <c r="A362" s="2"/>
      <c r="C362" s="2"/>
      <c r="E362" s="1"/>
      <c r="G362" s="2"/>
      <c r="H362" s="2"/>
      <c r="I362" s="2"/>
    </row>
    <row r="363" spans="1:9" customFormat="1">
      <c r="A363" s="2"/>
      <c r="C363" s="2"/>
      <c r="E363" s="1"/>
      <c r="G363" s="2"/>
      <c r="H363" s="2"/>
      <c r="I363" s="2"/>
    </row>
    <row r="364" spans="1:9" customFormat="1">
      <c r="A364" s="2"/>
      <c r="C364" s="2"/>
      <c r="E364" s="1"/>
      <c r="G364" s="2"/>
      <c r="H364" s="2"/>
      <c r="I364" s="2"/>
    </row>
    <row r="365" spans="1:9" customFormat="1">
      <c r="A365" s="2"/>
      <c r="C365" s="2"/>
      <c r="E365" s="1"/>
      <c r="G365" s="2"/>
      <c r="H365" s="2"/>
      <c r="I365" s="2"/>
    </row>
    <row r="366" spans="1:9" customFormat="1">
      <c r="A366" s="2"/>
      <c r="C366" s="2"/>
      <c r="E366" s="1"/>
      <c r="G366" s="2"/>
      <c r="H366" s="2"/>
      <c r="I366" s="2"/>
    </row>
    <row r="367" spans="1:9" customFormat="1">
      <c r="A367" s="2"/>
      <c r="C367" s="2"/>
      <c r="E367" s="1"/>
      <c r="G367" s="2"/>
      <c r="H367" s="2"/>
      <c r="I367" s="2"/>
    </row>
    <row r="368" spans="1:9" customFormat="1">
      <c r="A368" s="2"/>
      <c r="C368" s="2"/>
      <c r="E368" s="1"/>
      <c r="G368" s="2"/>
      <c r="H368" s="2"/>
      <c r="I368" s="2"/>
    </row>
    <row r="369" spans="1:9" customFormat="1">
      <c r="A369" s="2"/>
      <c r="C369" s="2"/>
      <c r="E369" s="1"/>
      <c r="G369" s="2"/>
      <c r="H369" s="2"/>
      <c r="I369" s="2"/>
    </row>
    <row r="370" spans="1:9" customFormat="1">
      <c r="A370" s="2"/>
      <c r="C370" s="2"/>
      <c r="E370" s="1"/>
      <c r="G370" s="2"/>
      <c r="H370" s="2"/>
      <c r="I370" s="2"/>
    </row>
    <row r="371" spans="1:9" customFormat="1">
      <c r="A371" s="2"/>
      <c r="C371" s="2"/>
      <c r="E371" s="1"/>
      <c r="G371" s="2"/>
      <c r="H371" s="2"/>
      <c r="I371" s="2"/>
    </row>
    <row r="372" spans="1:9" customFormat="1">
      <c r="A372" s="2"/>
      <c r="C372" s="2"/>
      <c r="E372" s="1"/>
      <c r="G372" s="2"/>
      <c r="H372" s="2"/>
      <c r="I372" s="2"/>
    </row>
    <row r="373" spans="1:9" customFormat="1">
      <c r="A373" s="2"/>
      <c r="C373" s="2"/>
      <c r="E373" s="1"/>
      <c r="G373" s="2"/>
      <c r="H373" s="2"/>
      <c r="I373" s="2"/>
    </row>
    <row r="374" spans="1:9" customFormat="1">
      <c r="A374" s="2"/>
      <c r="C374" s="2"/>
      <c r="E374" s="1"/>
      <c r="G374" s="2"/>
      <c r="H374" s="2"/>
      <c r="I374" s="2"/>
    </row>
    <row r="375" spans="1:9" customFormat="1">
      <c r="A375" s="2"/>
      <c r="C375" s="2"/>
      <c r="E375" s="1"/>
      <c r="G375" s="2"/>
      <c r="H375" s="2"/>
      <c r="I375" s="2"/>
    </row>
    <row r="376" spans="1:9" customFormat="1">
      <c r="A376" s="2"/>
      <c r="C376" s="2"/>
      <c r="E376" s="1"/>
      <c r="G376" s="2"/>
      <c r="H376" s="2"/>
      <c r="I376" s="2"/>
    </row>
    <row r="377" spans="1:9" customFormat="1">
      <c r="A377" s="2"/>
      <c r="C377" s="2"/>
      <c r="E377" s="1"/>
      <c r="G377" s="2"/>
      <c r="H377" s="2"/>
      <c r="I377" s="2"/>
    </row>
    <row r="378" spans="1:9" customFormat="1">
      <c r="A378" s="2"/>
      <c r="C378" s="2"/>
      <c r="E378" s="1"/>
      <c r="G378" s="2"/>
      <c r="H378" s="2"/>
      <c r="I378" s="2"/>
    </row>
    <row r="379" spans="1:9" customFormat="1">
      <c r="A379" s="2"/>
      <c r="C379" s="2"/>
      <c r="E379" s="1"/>
      <c r="G379" s="2"/>
      <c r="H379" s="2"/>
      <c r="I379" s="2"/>
    </row>
    <row r="380" spans="1:9" customFormat="1">
      <c r="A380" s="2"/>
      <c r="C380" s="2"/>
      <c r="E380" s="1"/>
      <c r="G380" s="2"/>
      <c r="H380" s="2"/>
      <c r="I380" s="2"/>
    </row>
    <row r="381" spans="1:9" customFormat="1">
      <c r="A381" s="2"/>
      <c r="C381" s="2"/>
      <c r="E381" s="1"/>
      <c r="G381" s="2"/>
      <c r="H381" s="2"/>
      <c r="I381" s="2"/>
    </row>
    <row r="382" spans="1:9" customFormat="1">
      <c r="A382" s="2"/>
      <c r="C382" s="2"/>
      <c r="E382" s="1"/>
      <c r="G382" s="2"/>
      <c r="H382" s="2"/>
      <c r="I382" s="2"/>
    </row>
    <row r="383" spans="1:9" customFormat="1">
      <c r="A383" s="2"/>
      <c r="C383" s="2"/>
      <c r="E383" s="1"/>
      <c r="G383" s="2"/>
      <c r="H383" s="2"/>
      <c r="I383" s="2"/>
    </row>
    <row r="384" spans="1:9" customFormat="1">
      <c r="A384" s="2"/>
      <c r="C384" s="2"/>
      <c r="E384" s="1"/>
      <c r="G384" s="2"/>
      <c r="H384" s="2"/>
      <c r="I384" s="2"/>
    </row>
    <row r="385" spans="1:9" customFormat="1">
      <c r="A385" s="2"/>
      <c r="C385" s="2"/>
      <c r="E385" s="1"/>
      <c r="G385" s="2"/>
      <c r="H385" s="2"/>
      <c r="I385" s="2"/>
    </row>
    <row r="386" spans="1:9" customFormat="1">
      <c r="A386" s="2"/>
      <c r="C386" s="2"/>
      <c r="E386" s="1"/>
      <c r="G386" s="2"/>
      <c r="H386" s="2"/>
      <c r="I386" s="2"/>
    </row>
    <row r="387" spans="1:9" customFormat="1">
      <c r="A387" s="2"/>
      <c r="C387" s="2"/>
      <c r="E387" s="1"/>
      <c r="G387" s="2"/>
      <c r="H387" s="2"/>
      <c r="I387" s="2"/>
    </row>
    <row r="388" spans="1:9" customFormat="1">
      <c r="A388" s="2"/>
      <c r="C388" s="2"/>
      <c r="E388" s="1"/>
      <c r="G388" s="2"/>
      <c r="H388" s="2"/>
      <c r="I388" s="2"/>
    </row>
    <row r="389" spans="1:9" customFormat="1">
      <c r="A389" s="2"/>
      <c r="C389" s="2"/>
      <c r="E389" s="1"/>
      <c r="G389" s="2"/>
      <c r="H389" s="2"/>
      <c r="I389" s="2"/>
    </row>
    <row r="390" spans="1:9" customFormat="1">
      <c r="A390" s="2"/>
      <c r="C390" s="2"/>
      <c r="E390" s="1"/>
      <c r="G390" s="2"/>
      <c r="H390" s="2"/>
      <c r="I390" s="2"/>
    </row>
    <row r="391" spans="1:9" customFormat="1">
      <c r="A391" s="2"/>
      <c r="C391" s="2"/>
      <c r="E391" s="1"/>
      <c r="G391" s="2"/>
      <c r="H391" s="2"/>
      <c r="I391" s="2"/>
    </row>
    <row r="392" spans="1:9" customFormat="1">
      <c r="A392" s="2"/>
      <c r="C392" s="2"/>
      <c r="E392" s="1"/>
      <c r="G392" s="2"/>
      <c r="H392" s="2"/>
      <c r="I392" s="2"/>
    </row>
    <row r="393" spans="1:9" customFormat="1">
      <c r="A393" s="2"/>
      <c r="C393" s="2"/>
      <c r="E393" s="1"/>
      <c r="G393" s="2"/>
      <c r="H393" s="2"/>
      <c r="I393" s="2"/>
    </row>
    <row r="394" spans="1:9" customFormat="1">
      <c r="A394" s="2"/>
      <c r="C394" s="2"/>
      <c r="E394" s="1"/>
      <c r="G394" s="2"/>
      <c r="H394" s="2"/>
      <c r="I394" s="2"/>
    </row>
    <row r="395" spans="1:9" customFormat="1">
      <c r="A395" s="2"/>
      <c r="C395" s="2"/>
      <c r="E395" s="1"/>
      <c r="G395" s="2"/>
      <c r="H395" s="2"/>
      <c r="I395" s="2"/>
    </row>
    <row r="396" spans="1:9" customFormat="1">
      <c r="A396" s="2"/>
      <c r="C396" s="2"/>
      <c r="E396" s="1"/>
      <c r="G396" s="2"/>
      <c r="H396" s="2"/>
      <c r="I396" s="2"/>
    </row>
    <row r="397" spans="1:9" customFormat="1">
      <c r="A397" s="2"/>
      <c r="C397" s="2"/>
      <c r="E397" s="1"/>
      <c r="G397" s="2"/>
      <c r="H397" s="2"/>
      <c r="I397" s="2"/>
    </row>
    <row r="398" spans="1:9" customFormat="1">
      <c r="A398" s="2"/>
      <c r="C398" s="2"/>
      <c r="E398" s="1"/>
      <c r="G398" s="2"/>
      <c r="H398" s="2"/>
      <c r="I398" s="2"/>
    </row>
    <row r="399" spans="1:9" customFormat="1">
      <c r="A399" s="2"/>
      <c r="C399" s="2"/>
      <c r="E399" s="1"/>
      <c r="G399" s="2"/>
      <c r="H399" s="2"/>
      <c r="I399" s="2"/>
    </row>
    <row r="400" spans="1:9" customFormat="1">
      <c r="A400" s="2"/>
      <c r="C400" s="2"/>
      <c r="E400" s="1"/>
      <c r="G400" s="2"/>
      <c r="H400" s="2"/>
      <c r="I400" s="2"/>
    </row>
    <row r="401" spans="1:9" customFormat="1">
      <c r="A401" s="2"/>
      <c r="C401" s="2"/>
      <c r="E401" s="1"/>
      <c r="G401" s="2"/>
      <c r="H401" s="2"/>
      <c r="I401" s="2"/>
    </row>
    <row r="402" spans="1:9" customFormat="1">
      <c r="A402" s="2"/>
      <c r="C402" s="2"/>
      <c r="E402" s="1"/>
      <c r="G402" s="2"/>
      <c r="H402" s="2"/>
      <c r="I402" s="2"/>
    </row>
    <row r="403" spans="1:9" customFormat="1">
      <c r="A403" s="2"/>
      <c r="C403" s="2"/>
      <c r="E403" s="1"/>
      <c r="G403" s="2"/>
      <c r="H403" s="2"/>
      <c r="I403" s="2"/>
    </row>
    <row r="404" spans="1:9" customFormat="1">
      <c r="A404" s="2"/>
      <c r="C404" s="2"/>
      <c r="E404" s="1"/>
      <c r="G404" s="2"/>
      <c r="H404" s="2"/>
      <c r="I404" s="2"/>
    </row>
    <row r="405" spans="1:9" customFormat="1">
      <c r="A405" s="2"/>
      <c r="C405" s="2"/>
      <c r="E405" s="1"/>
      <c r="G405" s="2"/>
      <c r="H405" s="2"/>
      <c r="I405" s="2"/>
    </row>
    <row r="406" spans="1:9" customFormat="1">
      <c r="A406" s="2"/>
      <c r="C406" s="2"/>
      <c r="E406" s="1"/>
      <c r="G406" s="2"/>
      <c r="H406" s="2"/>
      <c r="I406" s="2"/>
    </row>
    <row r="407" spans="1:9" customFormat="1">
      <c r="A407" s="2"/>
      <c r="C407" s="2"/>
      <c r="E407" s="1"/>
      <c r="G407" s="2"/>
      <c r="H407" s="2"/>
      <c r="I407" s="2"/>
    </row>
    <row r="408" spans="1:9" customFormat="1">
      <c r="A408" s="2"/>
      <c r="C408" s="2"/>
      <c r="E408" s="1"/>
      <c r="G408" s="2"/>
      <c r="H408" s="2"/>
      <c r="I408" s="2"/>
    </row>
    <row r="409" spans="1:9" customFormat="1">
      <c r="A409" s="2"/>
      <c r="C409" s="2"/>
      <c r="E409" s="1"/>
      <c r="G409" s="2"/>
      <c r="H409" s="2"/>
      <c r="I409" s="2"/>
    </row>
    <row r="410" spans="1:9" customFormat="1">
      <c r="A410" s="2"/>
      <c r="C410" s="2"/>
      <c r="E410" s="1"/>
      <c r="G410" s="2"/>
      <c r="H410" s="2"/>
      <c r="I410" s="2"/>
    </row>
    <row r="411" spans="1:9" customFormat="1">
      <c r="A411" s="2"/>
      <c r="C411" s="2"/>
      <c r="E411" s="1"/>
      <c r="G411" s="2"/>
      <c r="H411" s="2"/>
      <c r="I411" s="2"/>
    </row>
    <row r="412" spans="1:9" customFormat="1">
      <c r="A412" s="2"/>
      <c r="C412" s="2"/>
      <c r="E412" s="1"/>
      <c r="G412" s="2"/>
      <c r="H412" s="2"/>
      <c r="I412" s="2"/>
    </row>
    <row r="413" spans="1:9" customFormat="1">
      <c r="A413" s="2"/>
      <c r="C413" s="2"/>
      <c r="E413" s="1"/>
      <c r="G413" s="2"/>
      <c r="H413" s="2"/>
      <c r="I413" s="2"/>
    </row>
    <row r="414" spans="1:9" customFormat="1">
      <c r="A414" s="2"/>
      <c r="C414" s="2"/>
      <c r="E414" s="1"/>
      <c r="G414" s="2"/>
      <c r="H414" s="2"/>
      <c r="I414" s="2"/>
    </row>
    <row r="415" spans="1:9" customFormat="1">
      <c r="A415" s="2"/>
      <c r="C415" s="2"/>
      <c r="E415" s="1"/>
      <c r="G415" s="2"/>
      <c r="H415" s="2"/>
      <c r="I415" s="2"/>
    </row>
    <row r="416" spans="1:9" customFormat="1">
      <c r="A416" s="2"/>
      <c r="C416" s="2"/>
      <c r="E416" s="1"/>
      <c r="G416" s="2"/>
      <c r="H416" s="2"/>
      <c r="I416" s="2"/>
    </row>
    <row r="417" spans="1:9" customFormat="1">
      <c r="A417" s="2"/>
      <c r="C417" s="2"/>
      <c r="E417" s="1"/>
      <c r="G417" s="2"/>
      <c r="H417" s="2"/>
      <c r="I417" s="2"/>
    </row>
    <row r="418" spans="1:9" customFormat="1">
      <c r="A418" s="2"/>
      <c r="C418" s="2"/>
      <c r="E418" s="1"/>
      <c r="G418" s="2"/>
      <c r="H418" s="2"/>
      <c r="I418" s="2"/>
    </row>
    <row r="419" spans="1:9" customFormat="1">
      <c r="A419" s="2"/>
      <c r="C419" s="2"/>
      <c r="E419" s="1"/>
      <c r="G419" s="2"/>
      <c r="H419" s="2"/>
      <c r="I419" s="2"/>
    </row>
    <row r="420" spans="1:9" customFormat="1">
      <c r="A420" s="2"/>
      <c r="C420" s="2"/>
      <c r="E420" s="1"/>
      <c r="G420" s="2"/>
      <c r="H420" s="2"/>
      <c r="I420" s="2"/>
    </row>
    <row r="421" spans="1:9" customFormat="1">
      <c r="A421" s="2"/>
      <c r="C421" s="2"/>
      <c r="E421" s="1"/>
      <c r="G421" s="2"/>
      <c r="H421" s="2"/>
      <c r="I421" s="2"/>
    </row>
    <row r="422" spans="1:9" customFormat="1">
      <c r="A422" s="2"/>
      <c r="C422" s="2"/>
      <c r="E422" s="1"/>
      <c r="G422" s="2"/>
      <c r="H422" s="2"/>
      <c r="I422" s="2"/>
    </row>
    <row r="423" spans="1:9" customFormat="1">
      <c r="A423" s="2"/>
      <c r="C423" s="2"/>
      <c r="E423" s="1"/>
      <c r="G423" s="2"/>
      <c r="H423" s="2"/>
      <c r="I423" s="2"/>
    </row>
    <row r="424" spans="1:9" customFormat="1">
      <c r="A424" s="2"/>
      <c r="C424" s="2"/>
      <c r="E424" s="1"/>
      <c r="G424" s="2"/>
      <c r="H424" s="2"/>
      <c r="I424" s="2"/>
    </row>
    <row r="425" spans="1:9" customFormat="1">
      <c r="A425" s="2"/>
      <c r="C425" s="2"/>
      <c r="E425" s="1"/>
      <c r="G425" s="2"/>
      <c r="H425" s="2"/>
      <c r="I425" s="2"/>
    </row>
    <row r="426" spans="1:9" customFormat="1">
      <c r="A426" s="2"/>
      <c r="C426" s="2"/>
      <c r="E426" s="1"/>
      <c r="G426" s="2"/>
      <c r="H426" s="2"/>
      <c r="I426" s="2"/>
    </row>
    <row r="427" spans="1:9" customFormat="1">
      <c r="A427" s="2"/>
      <c r="C427" s="2"/>
      <c r="E427" s="1"/>
      <c r="G427" s="2"/>
      <c r="H427" s="2"/>
      <c r="I427" s="2"/>
    </row>
    <row r="428" spans="1:9" customFormat="1">
      <c r="A428" s="2"/>
      <c r="C428" s="2"/>
      <c r="E428" s="1"/>
      <c r="G428" s="2"/>
      <c r="H428" s="2"/>
      <c r="I428" s="2"/>
    </row>
    <row r="429" spans="1:9" customFormat="1">
      <c r="A429" s="2"/>
      <c r="C429" s="2"/>
      <c r="E429" s="1"/>
      <c r="G429" s="2"/>
      <c r="H429" s="2"/>
      <c r="I429" s="2"/>
    </row>
    <row r="430" spans="1:9" customFormat="1">
      <c r="A430" s="2"/>
      <c r="C430" s="2"/>
      <c r="E430" s="1"/>
      <c r="G430" s="2"/>
      <c r="H430" s="2"/>
      <c r="I430" s="2"/>
    </row>
    <row r="431" spans="1:9" customFormat="1">
      <c r="A431" s="2"/>
      <c r="C431" s="2"/>
      <c r="E431" s="1"/>
      <c r="G431" s="2"/>
      <c r="H431" s="2"/>
      <c r="I431" s="2"/>
    </row>
    <row r="432" spans="1:9" customFormat="1">
      <c r="A432" s="2"/>
      <c r="C432" s="2"/>
      <c r="E432" s="1"/>
      <c r="G432" s="2"/>
      <c r="H432" s="2"/>
      <c r="I432" s="2"/>
    </row>
    <row r="433" spans="1:9" customFormat="1">
      <c r="A433" s="2"/>
      <c r="C433" s="2"/>
      <c r="E433" s="1"/>
      <c r="G433" s="2"/>
      <c r="H433" s="2"/>
      <c r="I433" s="2"/>
    </row>
    <row r="434" spans="1:9" customFormat="1">
      <c r="A434" s="2"/>
      <c r="C434" s="2"/>
      <c r="E434" s="1"/>
      <c r="G434" s="2"/>
      <c r="H434" s="2"/>
      <c r="I434" s="2"/>
    </row>
    <row r="435" spans="1:9" customFormat="1">
      <c r="A435" s="2"/>
      <c r="C435" s="2"/>
      <c r="E435" s="1"/>
      <c r="G435" s="2"/>
      <c r="H435" s="2"/>
      <c r="I435" s="2"/>
    </row>
    <row r="436" spans="1:9" customFormat="1">
      <c r="A436" s="2"/>
      <c r="C436" s="2"/>
      <c r="E436" s="1"/>
      <c r="G436" s="2"/>
      <c r="H436" s="2"/>
      <c r="I436" s="2"/>
    </row>
    <row r="437" spans="1:9" customFormat="1">
      <c r="A437" s="2"/>
      <c r="C437" s="2"/>
      <c r="E437" s="1"/>
      <c r="G437" s="2"/>
      <c r="H437" s="2"/>
      <c r="I437" s="2"/>
    </row>
    <row r="438" spans="1:9" customFormat="1">
      <c r="A438" s="2"/>
      <c r="C438" s="2"/>
      <c r="E438" s="1"/>
      <c r="G438" s="2"/>
      <c r="H438" s="2"/>
      <c r="I438" s="2"/>
    </row>
    <row r="439" spans="1:9" customFormat="1">
      <c r="A439" s="2"/>
      <c r="C439" s="2"/>
      <c r="E439" s="1"/>
      <c r="G439" s="2"/>
      <c r="H439" s="2"/>
      <c r="I439" s="2"/>
    </row>
    <row r="440" spans="1:9" customFormat="1">
      <c r="A440" s="2"/>
      <c r="C440" s="2"/>
      <c r="E440" s="1"/>
      <c r="G440" s="2"/>
      <c r="H440" s="2"/>
      <c r="I440" s="2"/>
    </row>
    <row r="441" spans="1:9" customFormat="1">
      <c r="A441" s="2"/>
      <c r="C441" s="2"/>
      <c r="E441" s="1"/>
      <c r="G441" s="2"/>
      <c r="H441" s="2"/>
      <c r="I441" s="2"/>
    </row>
    <row r="442" spans="1:9" customFormat="1">
      <c r="A442" s="2"/>
      <c r="C442" s="2"/>
      <c r="E442" s="1"/>
      <c r="G442" s="2"/>
      <c r="H442" s="2"/>
      <c r="I442" s="2"/>
    </row>
    <row r="443" spans="1:9" customFormat="1">
      <c r="A443" s="2"/>
      <c r="C443" s="2"/>
      <c r="E443" s="1"/>
      <c r="G443" s="2"/>
      <c r="H443" s="2"/>
      <c r="I443" s="2"/>
    </row>
    <row r="444" spans="1:9" customFormat="1">
      <c r="A444" s="2"/>
      <c r="C444" s="2"/>
      <c r="E444" s="1"/>
      <c r="G444" s="2"/>
      <c r="H444" s="2"/>
      <c r="I444" s="2"/>
    </row>
    <row r="445" spans="1:9" customFormat="1">
      <c r="A445" s="2"/>
      <c r="C445" s="2"/>
      <c r="E445" s="1"/>
      <c r="G445" s="2"/>
      <c r="H445" s="2"/>
      <c r="I445" s="2"/>
    </row>
    <row r="446" spans="1:9" customFormat="1">
      <c r="A446" s="2"/>
      <c r="C446" s="2"/>
      <c r="E446" s="1"/>
      <c r="G446" s="2"/>
      <c r="H446" s="2"/>
      <c r="I446" s="2"/>
    </row>
    <row r="447" spans="1:9" customFormat="1">
      <c r="A447" s="2"/>
      <c r="C447" s="2"/>
      <c r="E447" s="1"/>
      <c r="G447" s="2"/>
      <c r="H447" s="2"/>
      <c r="I447" s="2"/>
    </row>
    <row r="448" spans="1:9" customFormat="1">
      <c r="A448" s="2"/>
      <c r="C448" s="2"/>
      <c r="E448" s="1"/>
      <c r="G448" s="2"/>
      <c r="H448" s="2"/>
      <c r="I448" s="2"/>
    </row>
    <row r="449" spans="1:9" customFormat="1">
      <c r="A449" s="2"/>
      <c r="C449" s="2"/>
      <c r="E449" s="1"/>
      <c r="G449" s="2"/>
      <c r="H449" s="2"/>
      <c r="I449" s="2"/>
    </row>
    <row r="450" spans="1:9" customFormat="1">
      <c r="A450" s="2"/>
      <c r="C450" s="2"/>
      <c r="E450" s="1"/>
      <c r="G450" s="2"/>
      <c r="H450" s="2"/>
      <c r="I450" s="2"/>
    </row>
    <row r="451" spans="1:9" customFormat="1">
      <c r="A451" s="2"/>
      <c r="C451" s="2"/>
      <c r="E451" s="1"/>
      <c r="G451" s="2"/>
      <c r="H451" s="2"/>
      <c r="I451" s="2"/>
    </row>
    <row r="452" spans="1:9" customFormat="1">
      <c r="A452" s="2"/>
      <c r="C452" s="2"/>
      <c r="E452" s="1"/>
      <c r="G452" s="2"/>
      <c r="H452" s="2"/>
      <c r="I452" s="2"/>
    </row>
    <row r="453" spans="1:9" customFormat="1">
      <c r="A453" s="2"/>
      <c r="C453" s="2"/>
      <c r="E453" s="1"/>
      <c r="G453" s="2"/>
      <c r="H453" s="2"/>
      <c r="I453" s="2"/>
    </row>
    <row r="454" spans="1:9" customFormat="1">
      <c r="A454" s="2"/>
      <c r="C454" s="2"/>
      <c r="E454" s="1"/>
      <c r="G454" s="2"/>
      <c r="H454" s="2"/>
      <c r="I454" s="2"/>
    </row>
    <row r="455" spans="1:9" customFormat="1">
      <c r="A455" s="2"/>
      <c r="C455" s="2"/>
      <c r="E455" s="1"/>
      <c r="G455" s="2"/>
      <c r="H455" s="2"/>
      <c r="I455" s="2"/>
    </row>
    <row r="456" spans="1:9" customFormat="1">
      <c r="A456" s="2"/>
      <c r="C456" s="2"/>
      <c r="E456" s="1"/>
      <c r="G456" s="2"/>
      <c r="H456" s="2"/>
      <c r="I456" s="2"/>
    </row>
    <row r="457" spans="1:9" customFormat="1">
      <c r="A457" s="2"/>
      <c r="C457" s="2"/>
      <c r="E457" s="1"/>
      <c r="G457" s="2"/>
      <c r="H457" s="2"/>
      <c r="I457" s="2"/>
    </row>
    <row r="458" spans="1:9" customFormat="1">
      <c r="A458" s="2"/>
      <c r="C458" s="2"/>
      <c r="E458" s="1"/>
      <c r="G458" s="2"/>
      <c r="H458" s="2"/>
      <c r="I458" s="2"/>
    </row>
    <row r="459" spans="1:9" customFormat="1">
      <c r="A459" s="2"/>
      <c r="C459" s="2"/>
      <c r="E459" s="1"/>
      <c r="G459" s="2"/>
      <c r="H459" s="2"/>
      <c r="I459" s="2"/>
    </row>
    <row r="460" spans="1:9" customFormat="1">
      <c r="A460" s="2"/>
      <c r="C460" s="2"/>
      <c r="E460" s="1"/>
      <c r="G460" s="2"/>
      <c r="H460" s="2"/>
      <c r="I460" s="2"/>
    </row>
    <row r="461" spans="1:9" customFormat="1">
      <c r="A461" s="2"/>
      <c r="C461" s="2"/>
      <c r="E461" s="1"/>
      <c r="G461" s="2"/>
      <c r="H461" s="2"/>
      <c r="I461" s="2"/>
    </row>
    <row r="462" spans="1:9" customFormat="1">
      <c r="A462" s="2"/>
      <c r="C462" s="2"/>
      <c r="E462" s="1"/>
      <c r="G462" s="2"/>
      <c r="H462" s="2"/>
      <c r="I462" s="2"/>
    </row>
    <row r="463" spans="1:9" customFormat="1">
      <c r="A463" s="2"/>
      <c r="C463" s="2"/>
      <c r="E463" s="1"/>
      <c r="G463" s="2"/>
      <c r="H463" s="2"/>
      <c r="I463" s="2"/>
    </row>
    <row r="464" spans="1:9" customFormat="1">
      <c r="A464" s="2"/>
      <c r="C464" s="2"/>
      <c r="E464" s="1"/>
      <c r="G464" s="2"/>
      <c r="H464" s="2"/>
      <c r="I464" s="2"/>
    </row>
    <row r="465" spans="1:9" customFormat="1">
      <c r="A465" s="2"/>
      <c r="C465" s="2"/>
      <c r="E465" s="1"/>
      <c r="G465" s="2"/>
      <c r="H465" s="2"/>
      <c r="I465" s="2"/>
    </row>
    <row r="466" spans="1:9" customFormat="1">
      <c r="A466" s="2"/>
      <c r="C466" s="2"/>
      <c r="E466" s="1"/>
      <c r="G466" s="2"/>
      <c r="H466" s="2"/>
      <c r="I466" s="2"/>
    </row>
    <row r="467" spans="1:9" customFormat="1">
      <c r="A467" s="2"/>
      <c r="C467" s="2"/>
      <c r="E467" s="1"/>
      <c r="G467" s="2"/>
      <c r="H467" s="2"/>
      <c r="I467" s="2"/>
    </row>
    <row r="468" spans="1:9" customFormat="1">
      <c r="A468" s="2"/>
      <c r="C468" s="2"/>
      <c r="E468" s="1"/>
      <c r="G468" s="2"/>
      <c r="H468" s="2"/>
      <c r="I468" s="2"/>
    </row>
    <row r="469" spans="1:9" customFormat="1">
      <c r="A469" s="2"/>
      <c r="C469" s="2"/>
      <c r="E469" s="1"/>
      <c r="G469" s="2"/>
      <c r="H469" s="2"/>
      <c r="I469" s="2"/>
    </row>
    <row r="470" spans="1:9" customFormat="1">
      <c r="A470" s="2"/>
      <c r="C470" s="2"/>
      <c r="E470" s="1"/>
      <c r="G470" s="2"/>
      <c r="H470" s="2"/>
      <c r="I470" s="2"/>
    </row>
    <row r="471" spans="1:9" customFormat="1">
      <c r="A471" s="2"/>
      <c r="C471" s="2"/>
      <c r="E471" s="1"/>
      <c r="G471" s="2"/>
      <c r="H471" s="2"/>
      <c r="I471" s="2"/>
    </row>
    <row r="472" spans="1:9" customFormat="1">
      <c r="A472" s="2"/>
      <c r="C472" s="2"/>
      <c r="E472" s="1"/>
      <c r="G472" s="2"/>
      <c r="H472" s="2"/>
      <c r="I472" s="2"/>
    </row>
    <row r="473" spans="1:9" customFormat="1">
      <c r="A473" s="2"/>
      <c r="C473" s="2"/>
      <c r="E473" s="1"/>
      <c r="G473" s="2"/>
      <c r="H473" s="2"/>
      <c r="I473" s="2"/>
    </row>
    <row r="474" spans="1:9" customFormat="1">
      <c r="A474" s="2"/>
      <c r="C474" s="2"/>
      <c r="E474" s="1"/>
      <c r="G474" s="2"/>
      <c r="H474" s="2"/>
      <c r="I474" s="2"/>
    </row>
    <row r="475" spans="1:9" customFormat="1">
      <c r="A475" s="2"/>
      <c r="C475" s="2"/>
      <c r="E475" s="1"/>
      <c r="G475" s="2"/>
      <c r="H475" s="2"/>
      <c r="I475" s="2"/>
    </row>
    <row r="476" spans="1:9" customFormat="1">
      <c r="A476" s="2"/>
      <c r="C476" s="2"/>
      <c r="E476" s="1"/>
      <c r="G476" s="2"/>
      <c r="H476" s="2"/>
      <c r="I476" s="2"/>
    </row>
    <row r="477" spans="1:9" customFormat="1">
      <c r="A477" s="2"/>
      <c r="C477" s="2"/>
      <c r="E477" s="1"/>
      <c r="G477" s="2"/>
      <c r="H477" s="2"/>
      <c r="I477" s="2"/>
    </row>
    <row r="478" spans="1:9" customFormat="1">
      <c r="A478" s="2"/>
      <c r="C478" s="2"/>
      <c r="E478" s="1"/>
      <c r="G478" s="2"/>
      <c r="H478" s="2"/>
      <c r="I478" s="2"/>
    </row>
    <row r="479" spans="1:9" customFormat="1">
      <c r="A479" s="2"/>
      <c r="C479" s="2"/>
      <c r="E479" s="1"/>
      <c r="G479" s="2"/>
      <c r="H479" s="2"/>
      <c r="I479" s="2"/>
    </row>
    <row r="480" spans="1:9" customFormat="1">
      <c r="A480" s="2"/>
      <c r="C480" s="2"/>
      <c r="E480" s="1"/>
      <c r="G480" s="2"/>
      <c r="H480" s="2"/>
      <c r="I480" s="2"/>
    </row>
    <row r="481" spans="1:9" customFormat="1">
      <c r="A481" s="2"/>
      <c r="C481" s="2"/>
      <c r="E481" s="1"/>
      <c r="G481" s="2"/>
      <c r="H481" s="2"/>
      <c r="I481" s="2"/>
    </row>
    <row r="482" spans="1:9" customFormat="1">
      <c r="A482" s="2"/>
      <c r="C482" s="2"/>
      <c r="E482" s="1"/>
      <c r="G482" s="2"/>
      <c r="H482" s="2"/>
      <c r="I482" s="2"/>
    </row>
    <row r="483" spans="1:9" customFormat="1">
      <c r="A483" s="2"/>
      <c r="C483" s="2"/>
      <c r="E483" s="1"/>
      <c r="G483" s="2"/>
      <c r="H483" s="2"/>
      <c r="I483" s="2"/>
    </row>
    <row r="484" spans="1:9" customFormat="1">
      <c r="A484" s="2"/>
      <c r="C484" s="2"/>
      <c r="E484" s="1"/>
      <c r="G484" s="2"/>
      <c r="H484" s="2"/>
      <c r="I484" s="2"/>
    </row>
    <row r="485" spans="1:9" customFormat="1">
      <c r="A485" s="2"/>
      <c r="C485" s="2"/>
      <c r="E485" s="1"/>
      <c r="G485" s="2"/>
      <c r="H485" s="2"/>
      <c r="I485" s="2"/>
    </row>
    <row r="486" spans="1:9" customFormat="1">
      <c r="A486" s="2"/>
      <c r="C486" s="2"/>
      <c r="E486" s="1"/>
      <c r="G486" s="2"/>
      <c r="H486" s="2"/>
      <c r="I486" s="2"/>
    </row>
    <row r="487" spans="1:9" customFormat="1">
      <c r="A487" s="2"/>
      <c r="C487" s="2"/>
      <c r="E487" s="1"/>
      <c r="G487" s="2"/>
      <c r="H487" s="2"/>
      <c r="I487" s="2"/>
    </row>
    <row r="488" spans="1:9" customFormat="1">
      <c r="A488" s="2"/>
      <c r="C488" s="2"/>
      <c r="E488" s="1"/>
      <c r="G488" s="2"/>
      <c r="H488" s="2"/>
      <c r="I488" s="2"/>
    </row>
    <row r="489" spans="1:9" customFormat="1">
      <c r="A489" s="2"/>
      <c r="C489" s="2"/>
      <c r="E489" s="1"/>
      <c r="G489" s="2"/>
      <c r="H489" s="2"/>
      <c r="I489" s="2"/>
    </row>
    <row r="490" spans="1:9" customFormat="1">
      <c r="A490" s="2"/>
      <c r="C490" s="2"/>
      <c r="E490" s="1"/>
      <c r="G490" s="2"/>
      <c r="H490" s="2"/>
      <c r="I490" s="2"/>
    </row>
    <row r="491" spans="1:9" customFormat="1">
      <c r="A491" s="2"/>
      <c r="C491" s="2"/>
      <c r="E491" s="1"/>
      <c r="G491" s="2"/>
      <c r="H491" s="2"/>
      <c r="I491" s="2"/>
    </row>
    <row r="492" spans="1:9" customFormat="1">
      <c r="A492" s="2"/>
      <c r="C492" s="2"/>
      <c r="E492" s="1"/>
      <c r="G492" s="2"/>
      <c r="H492" s="2"/>
      <c r="I492" s="2"/>
    </row>
    <row r="493" spans="1:9" customFormat="1">
      <c r="A493" s="2"/>
      <c r="C493" s="2"/>
      <c r="E493" s="1"/>
      <c r="G493" s="2"/>
      <c r="H493" s="2"/>
      <c r="I493" s="2"/>
    </row>
    <row r="494" spans="1:9" customFormat="1">
      <c r="A494" s="2"/>
      <c r="C494" s="2"/>
      <c r="E494" s="1"/>
      <c r="G494" s="2"/>
      <c r="H494" s="2"/>
      <c r="I494" s="2"/>
    </row>
    <row r="495" spans="1:9" customFormat="1">
      <c r="A495" s="2"/>
      <c r="C495" s="2"/>
      <c r="E495" s="1"/>
      <c r="G495" s="2"/>
      <c r="H495" s="2"/>
      <c r="I495" s="2"/>
    </row>
    <row r="496" spans="1:9" customFormat="1">
      <c r="A496" s="2"/>
      <c r="C496" s="2"/>
      <c r="E496" s="1"/>
      <c r="G496" s="2"/>
      <c r="H496" s="2"/>
      <c r="I496" s="2"/>
    </row>
    <row r="497" spans="1:9" customFormat="1">
      <c r="A497" s="2"/>
      <c r="C497" s="2"/>
      <c r="E497" s="1"/>
      <c r="G497" s="2"/>
      <c r="H497" s="2"/>
      <c r="I497" s="2"/>
    </row>
    <row r="498" spans="1:9" customFormat="1">
      <c r="A498" s="2"/>
      <c r="C498" s="2"/>
      <c r="E498" s="1"/>
      <c r="G498" s="2"/>
      <c r="H498" s="2"/>
      <c r="I498" s="2"/>
    </row>
    <row r="499" spans="1:9" customFormat="1">
      <c r="A499" s="2"/>
      <c r="C499" s="2"/>
      <c r="E499" s="1"/>
      <c r="G499" s="2"/>
      <c r="H499" s="2"/>
      <c r="I499" s="2"/>
    </row>
    <row r="500" spans="1:9" customFormat="1">
      <c r="A500" s="2"/>
      <c r="C500" s="2"/>
      <c r="E500" s="1"/>
      <c r="G500" s="2"/>
      <c r="H500" s="2"/>
      <c r="I500" s="2"/>
    </row>
    <row r="501" spans="1:9" customFormat="1">
      <c r="A501" s="2"/>
      <c r="C501" s="2"/>
      <c r="E501" s="1"/>
      <c r="G501" s="2"/>
      <c r="H501" s="2"/>
      <c r="I501" s="2"/>
    </row>
    <row r="502" spans="1:9" customFormat="1">
      <c r="A502" s="2"/>
      <c r="C502" s="2"/>
      <c r="E502" s="1"/>
      <c r="G502" s="2"/>
      <c r="H502" s="2"/>
      <c r="I502" s="2"/>
    </row>
    <row r="503" spans="1:9" customFormat="1">
      <c r="A503" s="2"/>
      <c r="C503" s="2"/>
      <c r="E503" s="1"/>
      <c r="G503" s="2"/>
      <c r="H503" s="2"/>
      <c r="I503" s="2"/>
    </row>
    <row r="504" spans="1:9" customFormat="1">
      <c r="A504" s="2"/>
      <c r="C504" s="2"/>
      <c r="E504" s="1"/>
      <c r="G504" s="2"/>
      <c r="H504" s="2"/>
      <c r="I504" s="2"/>
    </row>
    <row r="505" spans="1:9" customFormat="1">
      <c r="A505" s="2"/>
      <c r="C505" s="2"/>
      <c r="E505" s="1"/>
      <c r="G505" s="2"/>
      <c r="H505" s="2"/>
      <c r="I505" s="2"/>
    </row>
    <row r="506" spans="1:9" customFormat="1">
      <c r="A506" s="2"/>
      <c r="C506" s="2"/>
      <c r="E506" s="1"/>
      <c r="G506" s="2"/>
      <c r="H506" s="2"/>
      <c r="I506" s="2"/>
    </row>
    <row r="507" spans="1:9" customFormat="1">
      <c r="A507" s="2"/>
      <c r="C507" s="2"/>
      <c r="E507" s="1"/>
      <c r="G507" s="2"/>
      <c r="H507" s="2"/>
      <c r="I507" s="2"/>
    </row>
    <row r="508" spans="1:9" customFormat="1">
      <c r="A508" s="2"/>
      <c r="C508" s="2"/>
      <c r="E508" s="1"/>
      <c r="G508" s="2"/>
      <c r="H508" s="2"/>
      <c r="I508" s="2"/>
    </row>
    <row r="509" spans="1:9" customFormat="1">
      <c r="A509" s="2"/>
      <c r="C509" s="2"/>
      <c r="E509" s="1"/>
      <c r="G509" s="2"/>
      <c r="H509" s="2"/>
      <c r="I509" s="2"/>
    </row>
    <row r="510" spans="1:9" customFormat="1">
      <c r="A510" s="2"/>
      <c r="C510" s="2"/>
      <c r="E510" s="1"/>
      <c r="G510" s="2"/>
      <c r="H510" s="2"/>
      <c r="I510" s="2"/>
    </row>
    <row r="511" spans="1:9" customFormat="1">
      <c r="A511" s="2"/>
      <c r="C511" s="2"/>
      <c r="E511" s="1"/>
      <c r="G511" s="2"/>
      <c r="H511" s="2"/>
      <c r="I511" s="2"/>
    </row>
    <row r="512" spans="1:9" customFormat="1">
      <c r="A512" s="2"/>
      <c r="C512" s="2"/>
      <c r="E512" s="1"/>
      <c r="G512" s="2"/>
      <c r="H512" s="2"/>
      <c r="I512" s="2"/>
    </row>
    <row r="513" spans="1:9" customFormat="1">
      <c r="A513" s="2"/>
      <c r="C513" s="2"/>
      <c r="E513" s="1"/>
      <c r="G513" s="2"/>
      <c r="H513" s="2"/>
      <c r="I513" s="2"/>
    </row>
    <row r="514" spans="1:9" customFormat="1">
      <c r="A514" s="2"/>
      <c r="C514" s="2"/>
      <c r="E514" s="1"/>
      <c r="G514" s="2"/>
      <c r="H514" s="2"/>
      <c r="I514" s="2"/>
    </row>
    <row r="515" spans="1:9" customFormat="1">
      <c r="A515" s="2"/>
      <c r="C515" s="2"/>
      <c r="E515" s="1"/>
      <c r="G515" s="2"/>
      <c r="H515" s="2"/>
      <c r="I515" s="2"/>
    </row>
    <row r="516" spans="1:9" customFormat="1">
      <c r="A516" s="2"/>
      <c r="C516" s="2"/>
      <c r="E516" s="1"/>
      <c r="G516" s="2"/>
      <c r="H516" s="2"/>
      <c r="I516" s="2"/>
    </row>
    <row r="517" spans="1:9" customFormat="1">
      <c r="A517" s="2"/>
      <c r="C517" s="2"/>
      <c r="E517" s="1"/>
      <c r="G517" s="2"/>
      <c r="H517" s="2"/>
      <c r="I517" s="2"/>
    </row>
    <row r="518" spans="1:9" customFormat="1">
      <c r="A518" s="2"/>
      <c r="C518" s="2"/>
      <c r="E518" s="1"/>
      <c r="G518" s="2"/>
      <c r="H518" s="2"/>
      <c r="I518" s="2"/>
    </row>
    <row r="519" spans="1:9" customFormat="1">
      <c r="A519" s="2"/>
      <c r="C519" s="2"/>
      <c r="E519" s="1"/>
      <c r="G519" s="2"/>
      <c r="H519" s="2"/>
      <c r="I519" s="2"/>
    </row>
    <row r="520" spans="1:9" customFormat="1">
      <c r="A520" s="2"/>
      <c r="C520" s="2"/>
      <c r="E520" s="1"/>
      <c r="G520" s="2"/>
      <c r="H520" s="2"/>
      <c r="I520" s="2"/>
    </row>
    <row r="521" spans="1:9" customFormat="1">
      <c r="A521" s="2"/>
      <c r="C521" s="2"/>
      <c r="E521" s="1"/>
      <c r="G521" s="2"/>
      <c r="H521" s="2"/>
      <c r="I521" s="2"/>
    </row>
    <row r="522" spans="1:9" customFormat="1">
      <c r="A522" s="2"/>
      <c r="C522" s="2"/>
      <c r="E522" s="1"/>
      <c r="G522" s="2"/>
      <c r="H522" s="2"/>
      <c r="I522" s="2"/>
    </row>
    <row r="523" spans="1:9" customFormat="1">
      <c r="A523" s="2"/>
      <c r="C523" s="2"/>
      <c r="E523" s="1"/>
      <c r="G523" s="2"/>
      <c r="H523" s="2"/>
      <c r="I523" s="2"/>
    </row>
    <row r="524" spans="1:9" customFormat="1">
      <c r="A524" s="2"/>
      <c r="C524" s="2"/>
      <c r="E524" s="1"/>
      <c r="G524" s="2"/>
      <c r="H524" s="2"/>
      <c r="I524" s="2"/>
    </row>
    <row r="525" spans="1:9" customFormat="1">
      <c r="A525" s="2"/>
      <c r="C525" s="2"/>
      <c r="E525" s="1"/>
      <c r="G525" s="2"/>
      <c r="H525" s="2"/>
      <c r="I525" s="2"/>
    </row>
    <row r="526" spans="1:9" customFormat="1">
      <c r="A526" s="2"/>
      <c r="C526" s="2"/>
      <c r="E526" s="1"/>
      <c r="G526" s="2"/>
      <c r="H526" s="2"/>
      <c r="I526" s="2"/>
    </row>
    <row r="527" spans="1:9" customFormat="1">
      <c r="A527" s="2"/>
      <c r="C527" s="2"/>
      <c r="E527" s="1"/>
      <c r="G527" s="2"/>
      <c r="H527" s="2"/>
      <c r="I527" s="2"/>
    </row>
    <row r="528" spans="1:9" customFormat="1">
      <c r="A528" s="2"/>
      <c r="C528" s="2"/>
      <c r="E528" s="1"/>
      <c r="G528" s="2"/>
      <c r="H528" s="2"/>
      <c r="I528" s="2"/>
    </row>
    <row r="529" spans="1:9" customFormat="1">
      <c r="A529" s="2"/>
      <c r="C529" s="2"/>
      <c r="E529" s="1"/>
      <c r="G529" s="2"/>
      <c r="H529" s="2"/>
      <c r="I529" s="2"/>
    </row>
    <row r="530" spans="1:9" customFormat="1">
      <c r="A530" s="2"/>
      <c r="C530" s="2"/>
      <c r="E530" s="1"/>
      <c r="G530" s="2"/>
      <c r="H530" s="2"/>
      <c r="I530" s="2"/>
    </row>
    <row r="531" spans="1:9" customFormat="1">
      <c r="A531" s="2"/>
      <c r="C531" s="2"/>
      <c r="E531" s="1"/>
      <c r="G531" s="2"/>
      <c r="H531" s="2"/>
      <c r="I531" s="2"/>
    </row>
    <row r="532" spans="1:9" customFormat="1">
      <c r="A532" s="2"/>
      <c r="C532" s="2"/>
      <c r="E532" s="1"/>
      <c r="G532" s="2"/>
      <c r="H532" s="2"/>
      <c r="I532" s="2"/>
    </row>
    <row r="533" spans="1:9" customFormat="1">
      <c r="A533" s="2"/>
      <c r="C533" s="2"/>
      <c r="E533" s="1"/>
      <c r="G533" s="2"/>
      <c r="H533" s="2"/>
      <c r="I533" s="2"/>
    </row>
    <row r="534" spans="1:9" customFormat="1">
      <c r="A534" s="2"/>
      <c r="C534" s="2"/>
      <c r="E534" s="1"/>
      <c r="G534" s="2"/>
      <c r="H534" s="2"/>
      <c r="I534" s="2"/>
    </row>
    <row r="535" spans="1:9" customFormat="1">
      <c r="A535" s="2"/>
      <c r="C535" s="2"/>
      <c r="E535" s="1"/>
      <c r="G535" s="2"/>
      <c r="H535" s="2"/>
      <c r="I535" s="2"/>
    </row>
    <row r="536" spans="1:9" customFormat="1">
      <c r="A536" s="2"/>
      <c r="C536" s="2"/>
      <c r="E536" s="1"/>
      <c r="G536" s="2"/>
      <c r="H536" s="2"/>
      <c r="I536" s="2"/>
    </row>
    <row r="537" spans="1:9" customFormat="1">
      <c r="A537" s="2"/>
      <c r="C537" s="2"/>
      <c r="E537" s="1"/>
      <c r="G537" s="2"/>
      <c r="H537" s="2"/>
      <c r="I537" s="2"/>
    </row>
    <row r="538" spans="1:9" customFormat="1">
      <c r="A538" s="2"/>
      <c r="C538" s="2"/>
      <c r="E538" s="1"/>
      <c r="G538" s="2"/>
      <c r="H538" s="2"/>
      <c r="I538" s="2"/>
    </row>
    <row r="539" spans="1:9" customFormat="1">
      <c r="A539" s="2"/>
      <c r="C539" s="2"/>
      <c r="E539" s="1"/>
      <c r="G539" s="2"/>
      <c r="H539" s="2"/>
      <c r="I539" s="2"/>
    </row>
    <row r="540" spans="1:9" customFormat="1">
      <c r="A540" s="2"/>
      <c r="C540" s="2"/>
      <c r="E540" s="1"/>
      <c r="G540" s="2"/>
      <c r="H540" s="2"/>
      <c r="I540" s="2"/>
    </row>
    <row r="541" spans="1:9" customFormat="1">
      <c r="A541" s="2"/>
      <c r="C541" s="2"/>
      <c r="E541" s="1"/>
      <c r="G541" s="2"/>
      <c r="H541" s="2"/>
      <c r="I541" s="2"/>
    </row>
    <row r="542" spans="1:9" customFormat="1">
      <c r="A542" s="2"/>
      <c r="C542" s="2"/>
      <c r="E542" s="1"/>
      <c r="G542" s="2"/>
      <c r="H542" s="2"/>
      <c r="I542" s="2"/>
    </row>
    <row r="543" spans="1:9" customFormat="1">
      <c r="A543" s="2"/>
      <c r="C543" s="2"/>
      <c r="E543" s="1"/>
      <c r="G543" s="2"/>
      <c r="H543" s="2"/>
      <c r="I543" s="2"/>
    </row>
    <row r="544" spans="1:9" customFormat="1">
      <c r="A544" s="2"/>
      <c r="C544" s="2"/>
      <c r="E544" s="1"/>
      <c r="G544" s="2"/>
      <c r="H544" s="2"/>
      <c r="I544" s="2"/>
    </row>
    <row r="545" spans="1:9" customFormat="1">
      <c r="A545" s="2"/>
      <c r="C545" s="2"/>
      <c r="E545" s="1"/>
      <c r="G545" s="2"/>
      <c r="H545" s="2"/>
      <c r="I545" s="2"/>
    </row>
    <row r="546" spans="1:9" customFormat="1">
      <c r="A546" s="2"/>
      <c r="C546" s="2"/>
      <c r="E546" s="1"/>
      <c r="G546" s="2"/>
      <c r="H546" s="2"/>
      <c r="I546" s="2"/>
    </row>
    <row r="547" spans="1:9" customFormat="1">
      <c r="A547" s="2"/>
      <c r="C547" s="2"/>
      <c r="E547" s="1"/>
      <c r="G547" s="2"/>
      <c r="H547" s="2"/>
      <c r="I547" s="2"/>
    </row>
    <row r="548" spans="1:9" customFormat="1">
      <c r="A548" s="2"/>
      <c r="C548" s="2"/>
      <c r="E548" s="1"/>
      <c r="G548" s="2"/>
      <c r="H548" s="2"/>
      <c r="I548" s="2"/>
    </row>
    <row r="549" spans="1:9" customFormat="1">
      <c r="A549" s="2"/>
      <c r="C549" s="2"/>
      <c r="E549" s="1"/>
      <c r="G549" s="2"/>
      <c r="H549" s="2"/>
      <c r="I549" s="2"/>
    </row>
    <row r="550" spans="1:9" customFormat="1">
      <c r="A550" s="2"/>
      <c r="C550" s="2"/>
      <c r="E550" s="1"/>
      <c r="G550" s="2"/>
      <c r="H550" s="2"/>
      <c r="I550" s="2"/>
    </row>
    <row r="551" spans="1:9" customFormat="1">
      <c r="A551" s="2"/>
      <c r="C551" s="2"/>
      <c r="E551" s="1"/>
      <c r="G551" s="2"/>
      <c r="H551" s="2"/>
      <c r="I551" s="2"/>
    </row>
    <row r="552" spans="1:9" customFormat="1">
      <c r="A552" s="2"/>
      <c r="C552" s="2"/>
      <c r="E552" s="1"/>
      <c r="G552" s="2"/>
      <c r="H552" s="2"/>
      <c r="I552" s="2"/>
    </row>
    <row r="553" spans="1:9" customFormat="1">
      <c r="A553" s="2"/>
      <c r="C553" s="2"/>
      <c r="E553" s="1"/>
      <c r="G553" s="2"/>
      <c r="H553" s="2"/>
      <c r="I553" s="2"/>
    </row>
    <row r="554" spans="1:9" customFormat="1">
      <c r="A554" s="2"/>
      <c r="C554" s="2"/>
      <c r="E554" s="1"/>
      <c r="G554" s="2"/>
      <c r="H554" s="2"/>
      <c r="I554" s="2"/>
    </row>
    <row r="555" spans="1:9" customFormat="1">
      <c r="A555" s="2"/>
      <c r="C555" s="2"/>
      <c r="E555" s="1"/>
      <c r="G555" s="2"/>
      <c r="H555" s="2"/>
      <c r="I555" s="2"/>
    </row>
    <row r="556" spans="1:9" customFormat="1">
      <c r="A556" s="2"/>
      <c r="C556" s="2"/>
      <c r="E556" s="1"/>
      <c r="G556" s="2"/>
      <c r="H556" s="2"/>
      <c r="I556" s="2"/>
    </row>
    <row r="557" spans="1:9" customFormat="1">
      <c r="A557" s="2"/>
      <c r="C557" s="2"/>
      <c r="E557" s="1"/>
      <c r="G557" s="2"/>
      <c r="H557" s="2"/>
      <c r="I557" s="2"/>
    </row>
    <row r="558" spans="1:9" customFormat="1">
      <c r="A558" s="2"/>
      <c r="C558" s="2"/>
      <c r="E558" s="1"/>
      <c r="G558" s="2"/>
      <c r="H558" s="2"/>
      <c r="I558" s="2"/>
    </row>
    <row r="559" spans="1:9" customFormat="1">
      <c r="A559" s="2"/>
      <c r="C559" s="2"/>
      <c r="E559" s="1"/>
      <c r="G559" s="2"/>
      <c r="H559" s="2"/>
      <c r="I559" s="2"/>
    </row>
    <row r="560" spans="1:9" customFormat="1">
      <c r="A560" s="2"/>
      <c r="C560" s="2"/>
      <c r="E560" s="1"/>
      <c r="G560" s="2"/>
      <c r="H560" s="2"/>
      <c r="I560" s="2"/>
    </row>
    <row r="561" spans="1:9" customFormat="1">
      <c r="A561" s="2"/>
      <c r="C561" s="2"/>
      <c r="E561" s="1"/>
      <c r="G561" s="2"/>
      <c r="H561" s="2"/>
      <c r="I561" s="2"/>
    </row>
    <row r="562" spans="1:9" customFormat="1">
      <c r="A562" s="2"/>
      <c r="C562" s="2"/>
      <c r="E562" s="1"/>
      <c r="G562" s="2"/>
      <c r="H562" s="2"/>
      <c r="I562" s="2"/>
    </row>
    <row r="563" spans="1:9" customFormat="1">
      <c r="A563" s="2"/>
      <c r="C563" s="2"/>
      <c r="E563" s="1"/>
      <c r="G563" s="2"/>
      <c r="H563" s="2"/>
      <c r="I563" s="2"/>
    </row>
    <row r="564" spans="1:9" customFormat="1">
      <c r="A564" s="2"/>
      <c r="C564" s="2"/>
      <c r="E564" s="1"/>
      <c r="G564" s="2"/>
      <c r="H564" s="2"/>
      <c r="I564" s="2"/>
    </row>
    <row r="565" spans="1:9" customFormat="1">
      <c r="A565" s="2"/>
      <c r="C565" s="2"/>
      <c r="E565" s="1"/>
      <c r="G565" s="2"/>
      <c r="H565" s="2"/>
      <c r="I565" s="2"/>
    </row>
    <row r="566" spans="1:9" customFormat="1">
      <c r="A566" s="2"/>
      <c r="C566" s="2"/>
      <c r="E566" s="1"/>
      <c r="G566" s="2"/>
      <c r="H566" s="2"/>
      <c r="I566" s="2"/>
    </row>
    <row r="567" spans="1:9" customFormat="1">
      <c r="A567" s="2"/>
      <c r="C567" s="2"/>
      <c r="E567" s="1"/>
      <c r="G567" s="2"/>
      <c r="H567" s="2"/>
      <c r="I567" s="2"/>
    </row>
    <row r="568" spans="1:9" customFormat="1">
      <c r="A568" s="2"/>
      <c r="C568" s="2"/>
      <c r="E568" s="1"/>
      <c r="G568" s="2"/>
      <c r="H568" s="2"/>
      <c r="I568" s="2"/>
    </row>
    <row r="569" spans="1:9" customFormat="1">
      <c r="A569" s="2"/>
      <c r="C569" s="2"/>
      <c r="E569" s="1"/>
      <c r="G569" s="2"/>
      <c r="H569" s="2"/>
      <c r="I569" s="2"/>
    </row>
    <row r="570" spans="1:9" customFormat="1">
      <c r="A570" s="2"/>
      <c r="C570" s="2"/>
      <c r="E570" s="1"/>
      <c r="G570" s="2"/>
      <c r="H570" s="2"/>
      <c r="I570" s="2"/>
    </row>
    <row r="571" spans="1:9" customFormat="1">
      <c r="A571" s="2"/>
      <c r="C571" s="2"/>
      <c r="E571" s="1"/>
      <c r="G571" s="2"/>
      <c r="H571" s="2"/>
      <c r="I571" s="2"/>
    </row>
    <row r="572" spans="1:9" customFormat="1">
      <c r="A572" s="2"/>
      <c r="C572" s="2"/>
      <c r="E572" s="1"/>
      <c r="G572" s="2"/>
      <c r="H572" s="2"/>
      <c r="I572" s="2"/>
    </row>
    <row r="573" spans="1:9" customFormat="1">
      <c r="A573" s="2"/>
      <c r="C573" s="2"/>
      <c r="E573" s="1"/>
      <c r="G573" s="2"/>
      <c r="H573" s="2"/>
      <c r="I573" s="2"/>
    </row>
    <row r="574" spans="1:9" customFormat="1">
      <c r="A574" s="2"/>
      <c r="C574" s="2"/>
      <c r="E574" s="1"/>
      <c r="G574" s="2"/>
      <c r="H574" s="2"/>
      <c r="I574" s="2"/>
    </row>
    <row r="575" spans="1:9" customFormat="1">
      <c r="A575" s="2"/>
      <c r="C575" s="2"/>
      <c r="E575" s="1"/>
      <c r="G575" s="2"/>
      <c r="H575" s="2"/>
      <c r="I575" s="2"/>
    </row>
    <row r="576" spans="1:9" customFormat="1">
      <c r="A576" s="2"/>
      <c r="C576" s="2"/>
      <c r="E576" s="1"/>
      <c r="G576" s="2"/>
      <c r="H576" s="2"/>
      <c r="I576" s="2"/>
    </row>
    <row r="577" spans="2:13">
      <c r="B577"/>
      <c r="C577" s="2"/>
      <c r="D577"/>
      <c r="E577" s="1"/>
      <c r="F577"/>
      <c r="G577" s="2"/>
      <c r="H577" s="2"/>
      <c r="I577" s="2"/>
      <c r="J577"/>
      <c r="K577"/>
      <c r="L577"/>
      <c r="M577"/>
    </row>
    <row r="578" spans="2:13">
      <c r="B578"/>
      <c r="C578" s="2"/>
      <c r="D578"/>
      <c r="E578" s="1"/>
      <c r="F578"/>
      <c r="G578" s="2"/>
      <c r="H578" s="2"/>
      <c r="I578" s="2"/>
      <c r="J578"/>
      <c r="K578"/>
      <c r="L578"/>
      <c r="M578"/>
    </row>
    <row r="579" spans="2:13">
      <c r="B579"/>
      <c r="C579" s="2"/>
      <c r="D579"/>
      <c r="E579" s="1"/>
      <c r="F579"/>
      <c r="G579" s="2"/>
      <c r="H579" s="2"/>
      <c r="I579" s="2"/>
      <c r="J579"/>
      <c r="K579"/>
      <c r="L579"/>
      <c r="M579"/>
    </row>
    <row r="580" spans="2:13">
      <c r="B580"/>
      <c r="C580" s="2"/>
      <c r="D580"/>
      <c r="E580" s="1"/>
      <c r="F580"/>
      <c r="G580" s="2"/>
      <c r="H580" s="2"/>
      <c r="I580" s="2"/>
      <c r="J580"/>
      <c r="K580"/>
      <c r="L580"/>
      <c r="M580"/>
    </row>
    <row r="581" spans="2:13">
      <c r="B581"/>
      <c r="C581" s="2"/>
      <c r="D581"/>
      <c r="E581" s="1"/>
      <c r="F581"/>
      <c r="G581" s="2"/>
      <c r="H581" s="2"/>
      <c r="I581" s="2"/>
      <c r="J581"/>
      <c r="K581"/>
      <c r="L581"/>
      <c r="M581"/>
    </row>
    <row r="582" spans="2:13">
      <c r="B582"/>
      <c r="C582" s="2"/>
      <c r="D582"/>
      <c r="E582" s="1"/>
      <c r="F582"/>
      <c r="G582" s="2"/>
      <c r="H582" s="2"/>
      <c r="I582" s="2"/>
      <c r="J582"/>
      <c r="K582"/>
      <c r="L582"/>
      <c r="M582"/>
    </row>
    <row r="583" spans="2:13">
      <c r="B583"/>
      <c r="C583" s="2"/>
      <c r="D583"/>
      <c r="E583" s="1"/>
      <c r="F583"/>
      <c r="G583" s="2"/>
      <c r="H583" s="2"/>
      <c r="I583" s="2"/>
      <c r="J583"/>
      <c r="K583"/>
      <c r="L583"/>
      <c r="M583"/>
    </row>
    <row r="584" spans="2:13">
      <c r="B584"/>
      <c r="C584" s="2"/>
      <c r="D584"/>
      <c r="E584" s="1"/>
      <c r="F584"/>
      <c r="G584" s="2"/>
      <c r="H584" s="2"/>
      <c r="I584" s="2"/>
      <c r="J584"/>
      <c r="K584"/>
    </row>
    <row r="585" spans="2:13">
      <c r="B585"/>
      <c r="C585" s="2"/>
      <c r="D585"/>
      <c r="E585" s="1"/>
      <c r="F585"/>
      <c r="G585" s="2"/>
      <c r="H585" s="2"/>
      <c r="I585" s="2"/>
      <c r="J585"/>
      <c r="K585"/>
    </row>
    <row r="586" spans="2:13">
      <c r="B586"/>
      <c r="C586" s="2"/>
      <c r="D586"/>
      <c r="E586" s="1"/>
      <c r="F586"/>
      <c r="G586" s="2"/>
      <c r="H586" s="2"/>
      <c r="I586" s="2"/>
      <c r="J586"/>
      <c r="K586"/>
    </row>
    <row r="587" spans="2:13">
      <c r="B587"/>
      <c r="C587" s="2"/>
      <c r="D587"/>
      <c r="E587" s="1"/>
      <c r="F587"/>
      <c r="G587" s="2"/>
      <c r="H587" s="2"/>
      <c r="I587" s="2"/>
      <c r="J587"/>
      <c r="K587"/>
    </row>
    <row r="588" spans="2:13">
      <c r="B588"/>
      <c r="C588" s="2"/>
      <c r="D588"/>
      <c r="E588" s="1"/>
      <c r="F588"/>
      <c r="G588" s="2"/>
      <c r="H588" s="2"/>
      <c r="I588" s="2"/>
      <c r="J588"/>
      <c r="K588"/>
    </row>
    <row r="589" spans="2:13">
      <c r="B589"/>
      <c r="C589" s="2"/>
      <c r="D589"/>
      <c r="E589" s="1"/>
      <c r="F589"/>
      <c r="G589" s="2"/>
      <c r="H589" s="2"/>
      <c r="I589" s="2"/>
      <c r="J589"/>
      <c r="K589"/>
    </row>
    <row r="590" spans="2:13">
      <c r="B590"/>
      <c r="C590" s="2"/>
      <c r="D590"/>
      <c r="E590" s="1"/>
      <c r="F590"/>
      <c r="G590" s="2"/>
      <c r="H590" s="2"/>
      <c r="I590" s="2"/>
      <c r="J590"/>
      <c r="K590"/>
    </row>
    <row r="591" spans="2:13">
      <c r="B591"/>
      <c r="C591" s="2"/>
      <c r="D591"/>
      <c r="E591" s="1"/>
      <c r="F591"/>
      <c r="G591" s="2"/>
      <c r="H591" s="2"/>
      <c r="I591" s="2"/>
      <c r="J591"/>
      <c r="K591"/>
    </row>
    <row r="592" spans="2:13">
      <c r="B592"/>
      <c r="C592" s="2"/>
      <c r="D592"/>
      <c r="E592" s="1"/>
      <c r="F592"/>
      <c r="G592" s="2"/>
      <c r="H592" s="2"/>
      <c r="I592" s="2"/>
      <c r="J592"/>
      <c r="K592"/>
    </row>
    <row r="593" spans="2:11">
      <c r="B593"/>
      <c r="C593" s="2"/>
      <c r="D593"/>
      <c r="E593" s="1"/>
      <c r="F593"/>
      <c r="G593" s="2"/>
      <c r="H593" s="2"/>
      <c r="I593" s="2"/>
      <c r="J593"/>
      <c r="K593"/>
    </row>
    <row r="594" spans="2:11">
      <c r="B594"/>
      <c r="C594" s="2"/>
      <c r="D594"/>
      <c r="E594" s="1"/>
      <c r="F594"/>
      <c r="G594" s="2"/>
      <c r="H594" s="2"/>
      <c r="I594" s="2"/>
      <c r="J594"/>
      <c r="K594"/>
    </row>
    <row r="595" spans="2:11">
      <c r="B595"/>
      <c r="C595" s="2"/>
      <c r="D595"/>
      <c r="E595" s="1"/>
      <c r="F595"/>
      <c r="G595" s="2"/>
      <c r="H595" s="2"/>
      <c r="I595" s="2"/>
      <c r="J595"/>
      <c r="K595"/>
    </row>
    <row r="596" spans="2:11">
      <c r="B596"/>
      <c r="C596" s="2"/>
      <c r="D596"/>
      <c r="E596" s="1"/>
      <c r="F596"/>
      <c r="G596" s="2"/>
      <c r="H596" s="2"/>
      <c r="I596" s="2"/>
      <c r="J596"/>
      <c r="K596"/>
    </row>
    <row r="597" spans="2:11">
      <c r="B597"/>
      <c r="C597" s="2"/>
      <c r="D597"/>
      <c r="E597" s="1"/>
      <c r="F597"/>
      <c r="G597" s="2"/>
      <c r="H597" s="2"/>
      <c r="I597" s="2"/>
      <c r="J597"/>
      <c r="K597"/>
    </row>
    <row r="598" spans="2:11">
      <c r="B598"/>
      <c r="C598" s="2"/>
      <c r="D598"/>
      <c r="E598" s="1"/>
      <c r="F598"/>
      <c r="G598" s="2"/>
      <c r="H598" s="2"/>
      <c r="I598" s="2"/>
      <c r="J598"/>
      <c r="K598"/>
    </row>
  </sheetData>
  <phoneticPr fontId="0" type="noConversion"/>
  <printOptions headings="1" gridLines="1"/>
  <pageMargins left="0.59055118110236227" right="0.19685039370078741" top="0.78740157480314965" bottom="0.78740157480314965" header="0.51181102362204722" footer="0.51181102362204722"/>
  <pageSetup paperSize="9" orientation="landscape" verticalDpi="300" r:id="rId1"/>
  <headerFooter alignWithMargins="0"/>
  <colBreaks count="2" manualBreakCount="2">
    <brk id="12" max="1048575" man="1"/>
    <brk id="15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FFF2E-84EC-41AA-9FBF-14CF09AF25AE}">
  <sheetPr codeName="Tabelle4"/>
  <dimension ref="A1:P951"/>
  <sheetViews>
    <sheetView zoomScaleNormal="100" zoomScaleSheetLayoutView="100" workbookViewId="0">
      <selection activeCell="E1" sqref="E1"/>
    </sheetView>
  </sheetViews>
  <sheetFormatPr baseColWidth="10" defaultColWidth="11.5703125" defaultRowHeight="12.75"/>
  <cols>
    <col min="1" max="1" width="3.5703125" style="127" customWidth="1"/>
    <col min="2" max="2" width="9.5703125" style="127" customWidth="1"/>
    <col min="3" max="3" width="7.5703125" style="230" customWidth="1"/>
    <col min="4" max="5" width="7.5703125" style="127" customWidth="1"/>
    <col min="6" max="6" width="34.5703125" style="127" customWidth="1"/>
    <col min="7" max="7" width="10.7109375" style="127" customWidth="1"/>
    <col min="8" max="8" width="6.5703125" style="127" customWidth="1"/>
    <col min="9" max="9" width="11" style="127" customWidth="1"/>
    <col min="10" max="10" width="8.42578125" style="172" customWidth="1"/>
    <col min="11" max="11" width="16.5703125" style="127" customWidth="1"/>
    <col min="12" max="12" width="4.5703125" style="127" customWidth="1"/>
    <col min="13" max="13" width="9.42578125" style="127" customWidth="1"/>
    <col min="14" max="14" width="9.7109375" style="127" customWidth="1"/>
    <col min="15" max="15" width="11" style="127" customWidth="1"/>
    <col min="16" max="16" width="67.28515625" style="127" customWidth="1"/>
    <col min="17" max="16384" width="11.5703125" style="127"/>
  </cols>
  <sheetData>
    <row r="1" spans="1:16" ht="18.75" thickBot="1">
      <c r="A1" s="477">
        <v>2</v>
      </c>
      <c r="B1" s="478" t="s">
        <v>36</v>
      </c>
      <c r="C1" s="479">
        <v>4</v>
      </c>
      <c r="D1" s="479"/>
      <c r="E1" s="480">
        <v>2025</v>
      </c>
      <c r="F1" s="481" t="s">
        <v>15</v>
      </c>
      <c r="G1" s="506">
        <v>1</v>
      </c>
      <c r="H1" s="482">
        <v>1</v>
      </c>
      <c r="I1" s="505" t="s">
        <v>45</v>
      </c>
      <c r="J1" s="483">
        <v>0</v>
      </c>
      <c r="K1" s="484"/>
    </row>
    <row r="2" spans="1:16" ht="13.5" thickBot="1">
      <c r="A2" s="485" t="s">
        <v>34</v>
      </c>
      <c r="B2" s="486" t="s">
        <v>37</v>
      </c>
      <c r="C2" s="487" t="s">
        <v>17</v>
      </c>
      <c r="D2" s="488" t="s">
        <v>18</v>
      </c>
      <c r="E2" s="488" t="s">
        <v>19</v>
      </c>
      <c r="F2" s="489" t="s">
        <v>20</v>
      </c>
      <c r="G2" s="488" t="s">
        <v>6</v>
      </c>
      <c r="H2" s="485" t="s">
        <v>21</v>
      </c>
      <c r="I2" s="504" t="s">
        <v>101</v>
      </c>
      <c r="J2" s="485" t="s">
        <v>72</v>
      </c>
      <c r="K2" s="490" t="s">
        <v>46</v>
      </c>
      <c r="M2" s="127" t="s">
        <v>421</v>
      </c>
    </row>
    <row r="3" spans="1:16" ht="13.5">
      <c r="A3" s="491">
        <v>1</v>
      </c>
      <c r="B3" s="157" t="s">
        <v>36</v>
      </c>
      <c r="C3" s="158">
        <v>1</v>
      </c>
      <c r="D3" s="158">
        <v>100</v>
      </c>
      <c r="E3" s="158">
        <v>101</v>
      </c>
      <c r="F3" s="127" t="s">
        <v>5</v>
      </c>
      <c r="G3" s="159">
        <v>0</v>
      </c>
      <c r="H3" s="160" t="s">
        <v>4</v>
      </c>
      <c r="I3" s="160"/>
      <c r="J3" s="492"/>
      <c r="K3" s="161"/>
      <c r="M3" s="155" t="s">
        <v>143</v>
      </c>
      <c r="N3" s="127" t="s">
        <v>217</v>
      </c>
    </row>
    <row r="4" spans="1:16" ht="13.5">
      <c r="A4" s="491">
        <v>2</v>
      </c>
      <c r="B4" s="162"/>
      <c r="C4" s="163"/>
      <c r="D4" s="163"/>
      <c r="E4" s="163"/>
      <c r="G4" s="164"/>
      <c r="H4" s="165" t="s">
        <v>14</v>
      </c>
      <c r="I4" s="165"/>
      <c r="J4" s="493"/>
      <c r="K4" s="167"/>
      <c r="M4" s="155" t="s">
        <v>89</v>
      </c>
      <c r="N4" s="127" t="s">
        <v>219</v>
      </c>
    </row>
    <row r="5" spans="1:16" ht="13.5">
      <c r="A5" s="491"/>
      <c r="B5" s="162"/>
      <c r="C5" s="163"/>
      <c r="D5" s="163"/>
      <c r="E5" s="163"/>
      <c r="G5" s="164"/>
      <c r="H5" s="165"/>
      <c r="I5" s="165"/>
      <c r="J5" s="493"/>
      <c r="K5" s="167"/>
      <c r="M5" s="155" t="s">
        <v>215</v>
      </c>
      <c r="N5" s="127" t="s">
        <v>218</v>
      </c>
    </row>
    <row r="6" spans="1:16" ht="13.5">
      <c r="A6" s="491"/>
      <c r="B6" s="162"/>
      <c r="C6" s="163"/>
      <c r="D6" s="163"/>
      <c r="E6" s="163"/>
      <c r="G6" s="164"/>
      <c r="H6" s="165"/>
      <c r="I6" s="165"/>
      <c r="J6" s="493"/>
      <c r="K6" s="167"/>
      <c r="M6" s="155" t="s">
        <v>149</v>
      </c>
      <c r="N6" s="127" t="s">
        <v>216</v>
      </c>
    </row>
    <row r="7" spans="1:16" ht="13.5">
      <c r="A7" s="491"/>
      <c r="B7" s="162"/>
      <c r="C7" s="163"/>
      <c r="D7" s="168"/>
      <c r="E7" s="163"/>
      <c r="G7" s="164"/>
      <c r="H7" s="165"/>
      <c r="I7" s="165"/>
      <c r="J7" s="493"/>
      <c r="K7" s="167"/>
      <c r="M7" s="155" t="s">
        <v>9</v>
      </c>
      <c r="N7" s="127" t="s">
        <v>220</v>
      </c>
    </row>
    <row r="8" spans="1:16" ht="13.5">
      <c r="A8" s="156"/>
      <c r="B8" s="162"/>
      <c r="C8" s="163"/>
      <c r="D8" s="168"/>
      <c r="E8" s="163"/>
      <c r="F8" s="127" t="s">
        <v>7</v>
      </c>
      <c r="G8" s="164">
        <f>SUM(G3:G7)</f>
        <v>0</v>
      </c>
      <c r="H8" s="165"/>
      <c r="I8" s="165"/>
      <c r="J8" s="166"/>
      <c r="K8" s="167"/>
      <c r="M8" s="373" t="s">
        <v>408</v>
      </c>
      <c r="N8" s="127" t="s">
        <v>482</v>
      </c>
    </row>
    <row r="9" spans="1:16" ht="13.5">
      <c r="A9" s="142"/>
      <c r="B9" s="169"/>
      <c r="C9" s="155"/>
      <c r="E9" s="155"/>
      <c r="G9" s="164"/>
      <c r="H9" s="170"/>
      <c r="I9" s="171"/>
      <c r="K9" s="173"/>
      <c r="M9" s="155" t="s">
        <v>138</v>
      </c>
      <c r="N9" s="127" t="s">
        <v>434</v>
      </c>
    </row>
    <row r="10" spans="1:16" ht="13.5">
      <c r="A10" s="142"/>
      <c r="B10" s="175"/>
      <c r="C10" s="176"/>
      <c r="D10" s="175"/>
      <c r="E10" s="175"/>
      <c r="F10" s="177"/>
      <c r="G10" s="178"/>
      <c r="H10" s="170"/>
      <c r="I10" s="155"/>
      <c r="K10" s="173"/>
      <c r="M10" s="169" t="s">
        <v>160</v>
      </c>
      <c r="N10" s="174" t="s">
        <v>221</v>
      </c>
    </row>
    <row r="11" spans="1:16" ht="13.5">
      <c r="A11" s="142"/>
      <c r="B11" s="175"/>
      <c r="C11" s="176"/>
      <c r="D11" s="175"/>
      <c r="E11" s="175"/>
      <c r="F11" s="177"/>
      <c r="G11" s="178"/>
      <c r="H11" s="170"/>
      <c r="I11" s="155"/>
      <c r="K11" s="173"/>
      <c r="M11" s="169" t="s">
        <v>428</v>
      </c>
      <c r="N11" s="174" t="s">
        <v>441</v>
      </c>
    </row>
    <row r="12" spans="1:16" ht="13.5">
      <c r="A12" s="142"/>
      <c r="B12" s="175"/>
      <c r="C12" s="176"/>
      <c r="D12" s="175"/>
      <c r="E12" s="175"/>
      <c r="F12" s="177"/>
      <c r="G12" s="178"/>
      <c r="H12" s="170"/>
      <c r="I12" s="155"/>
      <c r="K12" s="173"/>
      <c r="M12" s="169" t="s">
        <v>439</v>
      </c>
      <c r="N12" s="174" t="s">
        <v>440</v>
      </c>
    </row>
    <row r="13" spans="1:16">
      <c r="A13" s="142"/>
      <c r="B13" s="155"/>
      <c r="C13" s="155"/>
      <c r="E13" s="164"/>
      <c r="H13" s="179"/>
      <c r="I13" s="155"/>
    </row>
    <row r="14" spans="1:16">
      <c r="A14" s="142"/>
      <c r="B14" s="155"/>
      <c r="C14" s="155"/>
      <c r="E14" s="164"/>
      <c r="H14" s="179"/>
      <c r="I14" s="155"/>
    </row>
    <row r="15" spans="1:16">
      <c r="A15" s="142"/>
      <c r="B15" s="155"/>
      <c r="C15" s="155"/>
      <c r="E15" s="164"/>
      <c r="H15" s="179"/>
      <c r="I15" s="155"/>
      <c r="M15" s="180" t="s">
        <v>162</v>
      </c>
      <c r="N15" s="181"/>
      <c r="O15" s="181"/>
      <c r="P15" s="182"/>
    </row>
    <row r="16" spans="1:16">
      <c r="A16" s="142"/>
      <c r="B16" s="155"/>
      <c r="C16" s="169"/>
      <c r="D16" s="174"/>
      <c r="E16" s="155"/>
      <c r="G16" s="164"/>
      <c r="H16" s="179"/>
      <c r="I16" s="155"/>
      <c r="M16" s="182" t="s">
        <v>163</v>
      </c>
      <c r="N16" s="181" t="s">
        <v>164</v>
      </c>
      <c r="O16" s="181"/>
      <c r="P16" s="182"/>
    </row>
    <row r="17" spans="1:16">
      <c r="A17" s="142"/>
      <c r="B17" s="155"/>
      <c r="C17" s="169"/>
      <c r="D17" s="155"/>
      <c r="E17" s="155"/>
      <c r="G17" s="164"/>
      <c r="H17" s="179"/>
      <c r="I17" s="155"/>
      <c r="M17" s="182"/>
      <c r="N17" s="181" t="s">
        <v>485</v>
      </c>
      <c r="O17" s="181"/>
      <c r="P17" s="182"/>
    </row>
    <row r="18" spans="1:16" ht="13.5" thickBot="1">
      <c r="A18" s="142"/>
      <c r="B18" s="155"/>
      <c r="C18" s="169"/>
      <c r="D18" s="155"/>
      <c r="E18" s="155"/>
      <c r="G18" s="164"/>
      <c r="H18" s="179"/>
      <c r="I18" s="155"/>
      <c r="M18" s="180" t="s">
        <v>165</v>
      </c>
      <c r="N18" s="180"/>
      <c r="O18" s="183"/>
      <c r="P18" s="182"/>
    </row>
    <row r="19" spans="1:16">
      <c r="A19" s="142"/>
      <c r="B19" s="155"/>
      <c r="C19" s="169"/>
      <c r="D19" s="155"/>
      <c r="E19" s="155"/>
      <c r="G19" s="164"/>
      <c r="H19" s="179"/>
      <c r="I19" s="155"/>
      <c r="M19" s="184" t="s">
        <v>166</v>
      </c>
      <c r="N19" s="185" t="s">
        <v>167</v>
      </c>
      <c r="O19" s="744" t="s">
        <v>222</v>
      </c>
      <c r="P19" s="746" t="s">
        <v>171</v>
      </c>
    </row>
    <row r="20" spans="1:16">
      <c r="A20" s="142"/>
      <c r="B20" s="155"/>
      <c r="C20" s="169"/>
      <c r="D20" s="155"/>
      <c r="E20" s="155"/>
      <c r="G20" s="164"/>
      <c r="H20" s="179"/>
      <c r="I20" s="155"/>
      <c r="M20" s="186" t="s">
        <v>169</v>
      </c>
      <c r="N20" s="187" t="s">
        <v>170</v>
      </c>
      <c r="O20" s="745"/>
      <c r="P20" s="747"/>
    </row>
    <row r="21" spans="1:16">
      <c r="A21" s="142"/>
      <c r="B21" s="155"/>
      <c r="C21" s="169"/>
      <c r="D21" s="155"/>
      <c r="E21" s="155"/>
      <c r="G21" s="164"/>
      <c r="H21" s="179"/>
      <c r="I21" s="155"/>
      <c r="M21" s="188" t="s">
        <v>81</v>
      </c>
      <c r="N21" s="189" t="s">
        <v>138</v>
      </c>
      <c r="O21" s="190" t="s">
        <v>139</v>
      </c>
      <c r="P21" s="191" t="s">
        <v>115</v>
      </c>
    </row>
    <row r="22" spans="1:16">
      <c r="A22" s="142"/>
      <c r="B22" s="155"/>
      <c r="C22" s="169"/>
      <c r="D22" s="155"/>
      <c r="E22" s="155"/>
      <c r="G22" s="164"/>
      <c r="H22" s="179"/>
      <c r="I22" s="155"/>
      <c r="M22" s="192"/>
      <c r="N22" s="193"/>
      <c r="O22" s="194"/>
      <c r="P22" s="195" t="s">
        <v>140</v>
      </c>
    </row>
    <row r="23" spans="1:16">
      <c r="A23" s="142"/>
      <c r="B23" s="155"/>
      <c r="C23" s="169"/>
      <c r="D23" s="155"/>
      <c r="E23" s="155"/>
      <c r="G23" s="164"/>
      <c r="H23" s="179"/>
      <c r="I23" s="155"/>
      <c r="M23" s="192"/>
      <c r="N23" s="193"/>
      <c r="O23" s="194"/>
      <c r="P23" s="195" t="s">
        <v>172</v>
      </c>
    </row>
    <row r="24" spans="1:16">
      <c r="A24" s="142"/>
      <c r="B24" s="155"/>
      <c r="C24" s="169"/>
      <c r="D24" s="155"/>
      <c r="E24" s="155"/>
      <c r="G24" s="164"/>
      <c r="H24" s="179"/>
      <c r="I24" s="155"/>
      <c r="M24" s="192"/>
      <c r="N24" s="196"/>
      <c r="O24" s="197"/>
      <c r="P24" s="198" t="s">
        <v>141</v>
      </c>
    </row>
    <row r="25" spans="1:16">
      <c r="A25" s="142"/>
      <c r="B25" s="155"/>
      <c r="C25" s="169"/>
      <c r="D25" s="155"/>
      <c r="E25" s="155"/>
      <c r="G25" s="164"/>
      <c r="H25" s="179"/>
      <c r="I25" s="155"/>
      <c r="M25" s="192"/>
      <c r="N25" s="199" t="s">
        <v>142</v>
      </c>
      <c r="O25" s="200" t="s">
        <v>101</v>
      </c>
      <c r="P25" s="201" t="s">
        <v>484</v>
      </c>
    </row>
    <row r="26" spans="1:16">
      <c r="A26" s="142"/>
      <c r="B26" s="155"/>
      <c r="C26" s="169"/>
      <c r="D26" s="155"/>
      <c r="E26" s="155"/>
      <c r="G26" s="164"/>
      <c r="H26" s="179"/>
      <c r="I26" s="155"/>
      <c r="M26" s="192"/>
      <c r="N26" s="199"/>
      <c r="O26" s="202" t="s">
        <v>173</v>
      </c>
      <c r="P26" s="195" t="s">
        <v>483</v>
      </c>
    </row>
    <row r="27" spans="1:16">
      <c r="A27" s="142"/>
      <c r="B27" s="155"/>
      <c r="C27" s="169"/>
      <c r="D27" s="155"/>
      <c r="E27" s="155"/>
      <c r="G27" s="164"/>
      <c r="H27" s="179"/>
      <c r="I27" s="155"/>
      <c r="M27" s="192"/>
      <c r="N27" s="199"/>
      <c r="O27" s="202"/>
      <c r="P27" s="195" t="s">
        <v>486</v>
      </c>
    </row>
    <row r="28" spans="1:16">
      <c r="A28" s="142"/>
      <c r="B28" s="155"/>
      <c r="C28" s="169"/>
      <c r="D28" s="155"/>
      <c r="E28" s="155"/>
      <c r="G28" s="164"/>
      <c r="H28" s="179"/>
      <c r="I28" s="155"/>
      <c r="M28" s="192"/>
      <c r="N28" s="203"/>
      <c r="O28" s="204"/>
      <c r="P28" s="205" t="s">
        <v>487</v>
      </c>
    </row>
    <row r="29" spans="1:16">
      <c r="A29" s="142"/>
      <c r="B29" s="155"/>
      <c r="C29" s="169"/>
      <c r="D29" s="155"/>
      <c r="E29" s="155"/>
      <c r="G29" s="164"/>
      <c r="H29" s="179"/>
      <c r="I29" s="155"/>
      <c r="M29" s="192"/>
      <c r="N29" s="189" t="s">
        <v>143</v>
      </c>
      <c r="O29" s="200" t="s">
        <v>144</v>
      </c>
      <c r="P29" s="206" t="s">
        <v>488</v>
      </c>
    </row>
    <row r="30" spans="1:16">
      <c r="A30" s="142"/>
      <c r="B30" s="155"/>
      <c r="C30" s="169"/>
      <c r="D30" s="155"/>
      <c r="E30" s="155"/>
      <c r="G30" s="164"/>
      <c r="H30" s="179"/>
      <c r="I30" s="155"/>
      <c r="M30" s="192"/>
      <c r="N30" s="199"/>
      <c r="O30" s="207"/>
      <c r="P30" s="206" t="s">
        <v>105</v>
      </c>
    </row>
    <row r="31" spans="1:16">
      <c r="A31" s="142"/>
      <c r="B31" s="155"/>
      <c r="C31" s="169"/>
      <c r="D31" s="155"/>
      <c r="E31" s="155"/>
      <c r="G31" s="164"/>
      <c r="H31" s="179"/>
      <c r="I31" s="155"/>
      <c r="M31" s="192"/>
      <c r="N31" s="208"/>
      <c r="O31" s="209"/>
      <c r="P31" s="210" t="s">
        <v>489</v>
      </c>
    </row>
    <row r="32" spans="1:16">
      <c r="A32" s="142"/>
      <c r="B32" s="155"/>
      <c r="C32" s="169"/>
      <c r="D32" s="155"/>
      <c r="E32" s="155"/>
      <c r="G32" s="164"/>
      <c r="H32" s="179"/>
      <c r="I32" s="155"/>
      <c r="M32" s="192"/>
      <c r="N32" s="189" t="s">
        <v>149</v>
      </c>
      <c r="O32" s="200" t="s">
        <v>490</v>
      </c>
      <c r="P32" s="499" t="s">
        <v>491</v>
      </c>
    </row>
    <row r="33" spans="1:16">
      <c r="A33" s="142"/>
      <c r="B33" s="155"/>
      <c r="C33" s="169"/>
      <c r="D33" s="155"/>
      <c r="E33" s="155"/>
      <c r="G33" s="164"/>
      <c r="H33" s="179"/>
      <c r="I33" s="155"/>
      <c r="M33" s="192"/>
      <c r="N33" s="199"/>
      <c r="O33" s="207"/>
      <c r="P33" s="206" t="s">
        <v>492</v>
      </c>
    </row>
    <row r="34" spans="1:16">
      <c r="A34" s="142"/>
      <c r="B34" s="155"/>
      <c r="C34" s="169"/>
      <c r="D34" s="155"/>
      <c r="E34" s="155"/>
      <c r="G34" s="164"/>
      <c r="H34" s="179"/>
      <c r="I34" s="155"/>
      <c r="M34" s="192"/>
      <c r="N34" s="208"/>
      <c r="O34" s="209"/>
      <c r="P34" s="210" t="s">
        <v>493</v>
      </c>
    </row>
    <row r="35" spans="1:16">
      <c r="A35" s="142"/>
      <c r="B35" s="155"/>
      <c r="C35" s="169"/>
      <c r="D35" s="155"/>
      <c r="E35" s="155"/>
      <c r="G35" s="164"/>
      <c r="H35" s="179"/>
      <c r="I35" s="155"/>
      <c r="M35" s="192"/>
      <c r="N35" s="189" t="s">
        <v>494</v>
      </c>
      <c r="O35" s="200" t="s">
        <v>490</v>
      </c>
      <c r="P35" s="499" t="s">
        <v>495</v>
      </c>
    </row>
    <row r="36" spans="1:16">
      <c r="A36" s="142"/>
      <c r="B36" s="155"/>
      <c r="C36" s="169"/>
      <c r="D36" s="155"/>
      <c r="E36" s="155"/>
      <c r="G36" s="164"/>
      <c r="H36" s="179"/>
      <c r="I36" s="155"/>
      <c r="M36" s="192"/>
      <c r="N36" s="199"/>
      <c r="O36" s="207"/>
      <c r="P36" s="206" t="s">
        <v>496</v>
      </c>
    </row>
    <row r="37" spans="1:16">
      <c r="A37" s="142"/>
      <c r="B37" s="155"/>
      <c r="C37" s="169"/>
      <c r="D37" s="155"/>
      <c r="E37" s="155"/>
      <c r="G37" s="164"/>
      <c r="H37" s="179"/>
      <c r="I37" s="155"/>
      <c r="M37" s="192"/>
      <c r="N37" s="199"/>
      <c r="O37" s="209"/>
      <c r="P37" s="210" t="s">
        <v>493</v>
      </c>
    </row>
    <row r="38" spans="1:16">
      <c r="A38" s="142"/>
      <c r="B38" s="155"/>
      <c r="C38" s="169"/>
      <c r="D38" s="155"/>
      <c r="E38" s="155"/>
      <c r="G38" s="164"/>
      <c r="H38" s="179"/>
      <c r="I38" s="155"/>
      <c r="M38" s="192"/>
      <c r="N38" s="199"/>
      <c r="O38" s="501" t="s">
        <v>497</v>
      </c>
      <c r="P38" s="499" t="s">
        <v>498</v>
      </c>
    </row>
    <row r="39" spans="1:16">
      <c r="A39" s="142"/>
      <c r="B39" s="155"/>
      <c r="C39" s="169"/>
      <c r="D39" s="155"/>
      <c r="E39" s="155"/>
      <c r="G39" s="164"/>
      <c r="H39" s="179"/>
      <c r="I39" s="155"/>
      <c r="M39" s="192"/>
      <c r="N39" s="199"/>
      <c r="O39" s="207"/>
      <c r="P39" s="206" t="s">
        <v>499</v>
      </c>
    </row>
    <row r="40" spans="1:16">
      <c r="A40" s="142"/>
      <c r="B40" s="155"/>
      <c r="C40" s="169"/>
      <c r="D40" s="155"/>
      <c r="E40" s="155"/>
      <c r="G40" s="164"/>
      <c r="H40" s="179"/>
      <c r="I40" s="155"/>
      <c r="M40" s="192"/>
      <c r="N40" s="208"/>
      <c r="O40" s="209"/>
      <c r="P40" s="210" t="s">
        <v>500</v>
      </c>
    </row>
    <row r="41" spans="1:16">
      <c r="A41" s="142"/>
      <c r="B41" s="155"/>
      <c r="C41" s="169"/>
      <c r="D41" s="155"/>
      <c r="E41" s="155"/>
      <c r="G41" s="164"/>
      <c r="H41" s="179"/>
      <c r="I41" s="155"/>
      <c r="J41" s="127"/>
      <c r="M41" s="192"/>
      <c r="N41" s="500" t="s">
        <v>145</v>
      </c>
      <c r="O41" s="202" t="s">
        <v>174</v>
      </c>
      <c r="P41" s="211" t="s">
        <v>176</v>
      </c>
    </row>
    <row r="42" spans="1:16">
      <c r="A42" s="142"/>
      <c r="B42" s="155"/>
      <c r="C42" s="169"/>
      <c r="D42" s="155"/>
      <c r="E42" s="155"/>
      <c r="G42" s="164"/>
      <c r="H42" s="179"/>
      <c r="I42" s="155"/>
      <c r="M42" s="192"/>
      <c r="N42" s="199" t="s">
        <v>147</v>
      </c>
      <c r="O42" s="202" t="s">
        <v>175</v>
      </c>
      <c r="P42" s="195" t="s">
        <v>85</v>
      </c>
    </row>
    <row r="43" spans="1:16">
      <c r="A43" s="142"/>
      <c r="B43" s="155"/>
      <c r="C43" s="169"/>
      <c r="D43" s="155"/>
      <c r="E43" s="155"/>
      <c r="G43" s="164"/>
      <c r="H43" s="179"/>
      <c r="I43" s="155"/>
      <c r="M43" s="192"/>
      <c r="N43" s="199" t="s">
        <v>148</v>
      </c>
      <c r="O43" s="202" t="s">
        <v>177</v>
      </c>
      <c r="P43" s="195" t="s">
        <v>86</v>
      </c>
    </row>
    <row r="44" spans="1:16">
      <c r="A44" s="142"/>
      <c r="B44" s="155"/>
      <c r="C44" s="169"/>
      <c r="D44" s="155"/>
      <c r="E44" s="155"/>
      <c r="G44" s="164"/>
      <c r="H44" s="179"/>
      <c r="I44" s="155"/>
      <c r="M44" s="212" t="s">
        <v>82</v>
      </c>
      <c r="N44" s="189" t="s">
        <v>151</v>
      </c>
      <c r="O44" s="200" t="s">
        <v>152</v>
      </c>
      <c r="P44" s="191" t="s">
        <v>153</v>
      </c>
    </row>
    <row r="45" spans="1:16">
      <c r="A45" s="142"/>
      <c r="B45" s="155"/>
      <c r="C45" s="169"/>
      <c r="D45" s="155"/>
      <c r="E45" s="155"/>
      <c r="G45" s="164"/>
      <c r="H45" s="179"/>
      <c r="I45" s="155"/>
      <c r="M45" s="213"/>
      <c r="N45" s="208"/>
      <c r="O45" s="209"/>
      <c r="P45" s="198" t="s">
        <v>154</v>
      </c>
    </row>
    <row r="46" spans="1:16">
      <c r="A46" s="142"/>
      <c r="B46" s="155"/>
      <c r="C46" s="169"/>
      <c r="D46" s="155"/>
      <c r="E46" s="155"/>
      <c r="G46" s="164"/>
      <c r="H46" s="179"/>
      <c r="I46" s="155"/>
      <c r="M46" s="212" t="s">
        <v>179</v>
      </c>
      <c r="N46" s="189" t="s">
        <v>143</v>
      </c>
      <c r="O46" s="200" t="s">
        <v>180</v>
      </c>
      <c r="P46" s="211" t="s">
        <v>155</v>
      </c>
    </row>
    <row r="47" spans="1:16">
      <c r="A47" s="142"/>
      <c r="B47" s="155"/>
      <c r="C47" s="169"/>
      <c r="D47" s="155"/>
      <c r="E47" s="155"/>
      <c r="G47" s="164"/>
      <c r="H47" s="179"/>
      <c r="I47" s="155"/>
      <c r="M47" s="192"/>
      <c r="N47" s="208"/>
      <c r="O47" s="214" t="s">
        <v>181</v>
      </c>
      <c r="P47" s="211" t="s">
        <v>156</v>
      </c>
    </row>
    <row r="48" spans="1:16">
      <c r="A48" s="142"/>
      <c r="B48" s="155"/>
      <c r="C48" s="169"/>
      <c r="D48" s="155"/>
      <c r="E48" s="155"/>
      <c r="G48" s="164"/>
      <c r="H48" s="179"/>
      <c r="I48" s="155"/>
      <c r="M48" s="212" t="s">
        <v>182</v>
      </c>
      <c r="N48" s="189" t="s">
        <v>89</v>
      </c>
      <c r="O48" s="200" t="s">
        <v>183</v>
      </c>
      <c r="P48" s="191" t="s">
        <v>157</v>
      </c>
    </row>
    <row r="49" spans="1:16">
      <c r="A49" s="142"/>
      <c r="B49" s="155"/>
      <c r="C49" s="169"/>
      <c r="D49" s="155"/>
      <c r="E49" s="155"/>
      <c r="G49" s="164"/>
      <c r="H49" s="179"/>
      <c r="I49" s="155"/>
      <c r="M49" s="215"/>
      <c r="N49" s="199"/>
      <c r="O49" s="202" t="s">
        <v>184</v>
      </c>
      <c r="P49" s="211" t="s">
        <v>106</v>
      </c>
    </row>
    <row r="50" spans="1:16">
      <c r="A50" s="142"/>
      <c r="B50" s="155"/>
      <c r="C50" s="169"/>
      <c r="D50" s="155"/>
      <c r="E50" s="155"/>
      <c r="G50" s="164"/>
      <c r="H50" s="179"/>
      <c r="I50" s="155"/>
      <c r="M50" s="215"/>
      <c r="N50" s="208"/>
      <c r="O50" s="209"/>
      <c r="P50" s="211" t="s">
        <v>107</v>
      </c>
    </row>
    <row r="51" spans="1:16">
      <c r="A51" s="142"/>
      <c r="B51" s="155"/>
      <c r="C51" s="169"/>
      <c r="D51" s="155"/>
      <c r="E51" s="155"/>
      <c r="G51" s="164"/>
      <c r="H51" s="179"/>
      <c r="I51" s="155"/>
      <c r="M51" s="212" t="s">
        <v>185</v>
      </c>
      <c r="N51" s="189" t="s">
        <v>89</v>
      </c>
      <c r="O51" s="200" t="s">
        <v>186</v>
      </c>
      <c r="P51" s="216" t="s">
        <v>187</v>
      </c>
    </row>
    <row r="52" spans="1:16" ht="13.5" thickBot="1">
      <c r="A52" s="142"/>
      <c r="B52" s="155"/>
      <c r="C52" s="169"/>
      <c r="D52" s="155"/>
      <c r="E52" s="155"/>
      <c r="G52" s="164"/>
      <c r="H52" s="179"/>
      <c r="I52" s="155"/>
      <c r="M52" s="217"/>
      <c r="N52" s="218"/>
      <c r="O52" s="214" t="s">
        <v>184</v>
      </c>
      <c r="P52" s="205" t="s">
        <v>189</v>
      </c>
    </row>
    <row r="53" spans="1:16" ht="13.5" thickBot="1">
      <c r="A53" s="142"/>
      <c r="B53" s="155"/>
      <c r="C53" s="169"/>
      <c r="D53" s="155"/>
      <c r="E53" s="155"/>
      <c r="G53" s="164"/>
      <c r="H53" s="179"/>
      <c r="I53" s="155"/>
      <c r="M53" s="219" t="s">
        <v>411</v>
      </c>
      <c r="N53" s="181"/>
      <c r="O53" s="220"/>
      <c r="P53" s="221"/>
    </row>
    <row r="54" spans="1:16">
      <c r="A54" s="142"/>
      <c r="B54" s="155"/>
      <c r="C54" s="169"/>
      <c r="D54" s="155"/>
      <c r="E54" s="155"/>
      <c r="G54" s="164"/>
      <c r="H54" s="179"/>
      <c r="I54" s="155"/>
      <c r="M54" s="184" t="s">
        <v>501</v>
      </c>
      <c r="N54" s="222" t="s">
        <v>412</v>
      </c>
      <c r="O54" s="200" t="s">
        <v>502</v>
      </c>
      <c r="P54" s="191" t="s">
        <v>504</v>
      </c>
    </row>
    <row r="55" spans="1:16" ht="13.9" customHeight="1">
      <c r="A55" s="142"/>
      <c r="B55" s="155"/>
      <c r="C55" s="169"/>
      <c r="D55" s="155"/>
      <c r="E55" s="155"/>
      <c r="G55" s="164"/>
      <c r="H55" s="179"/>
      <c r="I55" s="155"/>
      <c r="M55" s="213"/>
      <c r="N55" s="199" t="s">
        <v>413</v>
      </c>
      <c r="O55" s="214"/>
      <c r="P55" s="198" t="s">
        <v>503</v>
      </c>
    </row>
    <row r="56" spans="1:16" ht="17.649999999999999" customHeight="1">
      <c r="A56" s="142"/>
      <c r="B56" s="155"/>
      <c r="C56" s="169"/>
      <c r="D56" s="155"/>
      <c r="E56" s="155"/>
      <c r="G56" s="164"/>
      <c r="H56" s="179"/>
      <c r="I56" s="155"/>
      <c r="M56" s="212" t="s">
        <v>83</v>
      </c>
      <c r="N56" s="189" t="s">
        <v>159</v>
      </c>
      <c r="O56" s="200" t="s">
        <v>194</v>
      </c>
      <c r="P56" s="191" t="s">
        <v>415</v>
      </c>
    </row>
    <row r="57" spans="1:16">
      <c r="A57" s="142"/>
      <c r="B57" s="155"/>
      <c r="C57" s="169"/>
      <c r="D57" s="155"/>
      <c r="E57" s="155"/>
      <c r="G57" s="164"/>
      <c r="H57" s="179"/>
      <c r="I57" s="155"/>
      <c r="M57" s="213"/>
      <c r="N57" s="208"/>
      <c r="O57" s="214" t="s">
        <v>196</v>
      </c>
      <c r="P57" s="198" t="s">
        <v>416</v>
      </c>
    </row>
    <row r="58" spans="1:16">
      <c r="A58" s="142"/>
      <c r="B58" s="155"/>
      <c r="C58" s="169"/>
      <c r="D58" s="155"/>
      <c r="E58" s="155"/>
      <c r="G58" s="164"/>
      <c r="H58" s="179"/>
      <c r="I58" s="155"/>
      <c r="M58" s="212" t="s">
        <v>92</v>
      </c>
      <c r="N58" s="199" t="s">
        <v>160</v>
      </c>
      <c r="O58" s="200" t="s">
        <v>161</v>
      </c>
      <c r="P58" s="191" t="s">
        <v>417</v>
      </c>
    </row>
    <row r="59" spans="1:16">
      <c r="A59" s="142"/>
      <c r="B59" s="155"/>
      <c r="C59" s="169"/>
      <c r="D59" s="155"/>
      <c r="E59" s="155"/>
      <c r="G59" s="164"/>
      <c r="H59" s="179"/>
      <c r="I59" s="155"/>
      <c r="M59" s="192"/>
      <c r="N59" s="199"/>
      <c r="O59" s="202" t="s">
        <v>197</v>
      </c>
      <c r="P59" s="195" t="s">
        <v>418</v>
      </c>
    </row>
    <row r="60" spans="1:16">
      <c r="A60" s="142"/>
      <c r="B60" s="155"/>
      <c r="C60" s="169"/>
      <c r="D60" s="155"/>
      <c r="E60" s="155"/>
      <c r="G60" s="164"/>
      <c r="H60" s="179"/>
      <c r="I60" s="155"/>
      <c r="M60" s="213"/>
      <c r="N60" s="208"/>
      <c r="O60" s="214" t="s">
        <v>223</v>
      </c>
      <c r="P60" s="205" t="s">
        <v>419</v>
      </c>
    </row>
    <row r="61" spans="1:16">
      <c r="A61" s="142"/>
      <c r="B61" s="155"/>
      <c r="C61" s="169"/>
      <c r="D61" s="155"/>
      <c r="E61" s="155"/>
      <c r="G61" s="164"/>
      <c r="H61" s="179"/>
      <c r="I61" s="155"/>
      <c r="M61" s="219" t="s">
        <v>420</v>
      </c>
      <c r="N61" s="181"/>
      <c r="O61" s="220"/>
      <c r="P61" s="221"/>
    </row>
    <row r="62" spans="1:16">
      <c r="A62" s="142"/>
      <c r="B62" s="155"/>
      <c r="C62" s="169"/>
      <c r="D62" s="155"/>
      <c r="E62" s="155"/>
      <c r="G62" s="164"/>
      <c r="H62" s="179"/>
      <c r="I62" s="155"/>
      <c r="M62" s="212" t="s">
        <v>82</v>
      </c>
      <c r="N62" s="189" t="s">
        <v>284</v>
      </c>
      <c r="O62" s="200" t="s">
        <v>152</v>
      </c>
      <c r="P62" s="191" t="s">
        <v>225</v>
      </c>
    </row>
    <row r="63" spans="1:16" ht="13.5" thickBot="1">
      <c r="A63" s="142"/>
      <c r="B63" s="155"/>
      <c r="C63" s="169"/>
      <c r="D63" s="155"/>
      <c r="E63" s="155"/>
      <c r="G63" s="164"/>
      <c r="H63" s="179"/>
      <c r="I63" s="155"/>
      <c r="M63" s="223"/>
      <c r="N63" s="218" t="s">
        <v>224</v>
      </c>
      <c r="O63" s="209"/>
      <c r="P63" s="198" t="s">
        <v>154</v>
      </c>
    </row>
    <row r="64" spans="1:16">
      <c r="A64" s="142"/>
      <c r="B64" s="155"/>
      <c r="C64" s="169"/>
      <c r="D64" s="155"/>
      <c r="E64" s="155"/>
      <c r="G64" s="164"/>
      <c r="H64" s="179"/>
      <c r="I64" s="155"/>
      <c r="M64" s="212" t="s">
        <v>459</v>
      </c>
      <c r="N64" s="189" t="s">
        <v>460</v>
      </c>
      <c r="O64" s="200" t="s">
        <v>461</v>
      </c>
      <c r="P64" s="191" t="s">
        <v>463</v>
      </c>
    </row>
    <row r="65" spans="1:16" ht="13.5" thickBot="1">
      <c r="A65" s="142"/>
      <c r="B65" s="155"/>
      <c r="C65" s="169"/>
      <c r="D65" s="155"/>
      <c r="E65" s="155"/>
      <c r="G65" s="164"/>
      <c r="H65" s="179"/>
      <c r="I65" s="155"/>
      <c r="M65" s="223"/>
      <c r="N65" s="218" t="s">
        <v>412</v>
      </c>
      <c r="O65" s="214" t="s">
        <v>462</v>
      </c>
      <c r="P65" s="198" t="s">
        <v>464</v>
      </c>
    </row>
    <row r="66" spans="1:16">
      <c r="A66" s="142"/>
      <c r="B66" s="155"/>
      <c r="C66" s="169"/>
      <c r="D66" s="155"/>
      <c r="E66" s="155"/>
      <c r="G66" s="164"/>
      <c r="H66" s="179"/>
      <c r="I66" s="155"/>
      <c r="M66" s="212"/>
      <c r="N66" s="189"/>
      <c r="O66" s="200"/>
      <c r="P66" s="191"/>
    </row>
    <row r="67" spans="1:16" ht="13.5" thickBot="1">
      <c r="A67" s="142"/>
      <c r="B67" s="155"/>
      <c r="C67" s="169"/>
      <c r="D67" s="155"/>
      <c r="E67" s="155"/>
      <c r="G67" s="164"/>
      <c r="H67" s="179"/>
      <c r="I67" s="155"/>
      <c r="M67" s="223"/>
      <c r="N67" s="218"/>
      <c r="O67" s="214"/>
      <c r="P67" s="198"/>
    </row>
    <row r="68" spans="1:16">
      <c r="A68" s="142"/>
      <c r="B68" s="155"/>
      <c r="C68" s="169"/>
      <c r="D68" s="155"/>
      <c r="E68" s="155"/>
      <c r="G68" s="164"/>
      <c r="H68" s="179"/>
      <c r="I68" s="155"/>
    </row>
    <row r="69" spans="1:16">
      <c r="A69" s="142"/>
      <c r="B69" s="155"/>
      <c r="C69" s="169"/>
      <c r="D69" s="155"/>
      <c r="E69" s="155"/>
      <c r="G69" s="164"/>
      <c r="H69" s="179"/>
      <c r="I69" s="155"/>
    </row>
    <row r="70" spans="1:16">
      <c r="A70" s="142"/>
      <c r="B70" s="155"/>
      <c r="C70" s="169"/>
      <c r="D70" s="155"/>
      <c r="E70" s="155"/>
      <c r="G70" s="164"/>
      <c r="H70" s="179"/>
      <c r="I70" s="155"/>
    </row>
    <row r="71" spans="1:16">
      <c r="A71" s="142"/>
      <c r="B71" s="155"/>
      <c r="C71" s="169"/>
      <c r="D71" s="155"/>
      <c r="E71" s="155"/>
      <c r="G71" s="164"/>
      <c r="H71" s="179"/>
      <c r="I71" s="155"/>
    </row>
    <row r="72" spans="1:16">
      <c r="A72" s="142"/>
      <c r="B72" s="155"/>
      <c r="C72" s="169"/>
      <c r="D72" s="155"/>
      <c r="E72" s="155"/>
      <c r="G72" s="164"/>
      <c r="H72" s="179"/>
      <c r="I72" s="155"/>
    </row>
    <row r="73" spans="1:16">
      <c r="A73" s="142"/>
      <c r="B73" s="155"/>
      <c r="C73" s="169"/>
      <c r="D73" s="155"/>
      <c r="E73" s="155"/>
      <c r="G73" s="164"/>
      <c r="H73" s="179"/>
      <c r="I73" s="155"/>
    </row>
    <row r="74" spans="1:16">
      <c r="A74" s="142"/>
      <c r="B74" s="155"/>
      <c r="C74" s="169"/>
      <c r="D74" s="155"/>
      <c r="E74" s="155"/>
      <c r="G74" s="164"/>
      <c r="H74" s="179"/>
      <c r="I74" s="155"/>
    </row>
    <row r="75" spans="1:16">
      <c r="A75" s="142"/>
      <c r="B75" s="155"/>
      <c r="C75" s="169"/>
      <c r="D75" s="155"/>
      <c r="E75" s="155"/>
      <c r="G75" s="164"/>
      <c r="H75" s="179"/>
      <c r="I75" s="155"/>
    </row>
    <row r="76" spans="1:16">
      <c r="A76" s="142"/>
      <c r="B76" s="155"/>
      <c r="C76" s="169"/>
      <c r="D76" s="155"/>
      <c r="E76" s="155"/>
      <c r="G76" s="164"/>
      <c r="H76" s="179"/>
      <c r="I76" s="155"/>
    </row>
    <row r="77" spans="1:16">
      <c r="A77" s="142"/>
      <c r="B77" s="155"/>
      <c r="C77" s="169"/>
      <c r="D77" s="155"/>
      <c r="E77" s="155"/>
      <c r="G77" s="164"/>
      <c r="H77" s="179"/>
      <c r="I77" s="155"/>
    </row>
    <row r="78" spans="1:16">
      <c r="A78" s="142"/>
      <c r="B78" s="155"/>
      <c r="C78" s="169"/>
      <c r="D78" s="155"/>
      <c r="E78" s="155"/>
      <c r="G78" s="164"/>
      <c r="H78" s="179"/>
      <c r="I78" s="155"/>
    </row>
    <row r="79" spans="1:16">
      <c r="A79" s="142"/>
      <c r="B79" s="155"/>
      <c r="C79" s="169"/>
      <c r="D79" s="155"/>
      <c r="E79" s="155"/>
      <c r="G79" s="164"/>
      <c r="H79" s="179"/>
      <c r="I79" s="155"/>
    </row>
    <row r="80" spans="1:16">
      <c r="A80" s="142"/>
      <c r="B80" s="155"/>
      <c r="C80" s="169"/>
      <c r="D80" s="155"/>
      <c r="E80" s="155"/>
      <c r="G80" s="164"/>
      <c r="H80" s="179"/>
      <c r="I80" s="155"/>
    </row>
    <row r="81" spans="1:9">
      <c r="A81" s="142"/>
      <c r="B81" s="155"/>
      <c r="C81" s="169"/>
      <c r="D81" s="155"/>
      <c r="E81" s="155"/>
      <c r="G81" s="164"/>
      <c r="H81" s="179"/>
      <c r="I81" s="155"/>
    </row>
    <row r="82" spans="1:9">
      <c r="A82" s="142"/>
      <c r="B82" s="155"/>
      <c r="C82" s="169"/>
      <c r="D82" s="155"/>
      <c r="E82" s="155"/>
      <c r="G82" s="164"/>
      <c r="H82" s="179"/>
      <c r="I82" s="155"/>
    </row>
    <row r="83" spans="1:9">
      <c r="A83" s="142"/>
      <c r="B83" s="155"/>
      <c r="C83" s="169"/>
      <c r="D83" s="155"/>
      <c r="E83" s="155"/>
      <c r="G83" s="164"/>
      <c r="H83" s="179"/>
      <c r="I83" s="155"/>
    </row>
    <row r="84" spans="1:9">
      <c r="A84" s="142"/>
      <c r="B84" s="155"/>
      <c r="C84" s="169"/>
      <c r="D84" s="155"/>
      <c r="E84" s="155"/>
      <c r="G84" s="164"/>
      <c r="H84" s="179"/>
      <c r="I84" s="155"/>
    </row>
    <row r="85" spans="1:9">
      <c r="A85" s="142"/>
      <c r="B85" s="155"/>
      <c r="C85" s="169"/>
      <c r="D85" s="155"/>
      <c r="E85" s="155"/>
      <c r="G85" s="164"/>
      <c r="H85" s="179"/>
      <c r="I85" s="155"/>
    </row>
    <row r="86" spans="1:9">
      <c r="A86" s="142"/>
      <c r="B86" s="155"/>
      <c r="C86" s="169"/>
      <c r="D86" s="155"/>
      <c r="E86" s="155"/>
      <c r="G86" s="164"/>
      <c r="H86" s="179"/>
      <c r="I86" s="155"/>
    </row>
    <row r="87" spans="1:9">
      <c r="A87" s="142"/>
      <c r="B87" s="155"/>
      <c r="C87" s="169"/>
      <c r="D87" s="155"/>
      <c r="E87" s="155"/>
      <c r="G87" s="164"/>
      <c r="H87" s="179"/>
      <c r="I87" s="155"/>
    </row>
    <row r="88" spans="1:9">
      <c r="A88" s="142"/>
      <c r="B88" s="155"/>
      <c r="C88" s="169"/>
      <c r="D88" s="155"/>
      <c r="E88" s="155"/>
      <c r="G88" s="164"/>
      <c r="H88" s="179"/>
      <c r="I88" s="155"/>
    </row>
    <row r="89" spans="1:9">
      <c r="A89" s="142"/>
      <c r="B89" s="155"/>
      <c r="C89" s="169"/>
      <c r="D89" s="155"/>
      <c r="E89" s="155"/>
      <c r="G89" s="164"/>
      <c r="H89" s="179"/>
      <c r="I89" s="155"/>
    </row>
    <row r="90" spans="1:9">
      <c r="A90" s="142"/>
      <c r="B90" s="155"/>
      <c r="C90" s="169"/>
      <c r="D90" s="155"/>
      <c r="E90" s="155"/>
      <c r="G90" s="164"/>
      <c r="H90" s="179"/>
      <c r="I90" s="155"/>
    </row>
    <row r="91" spans="1:9">
      <c r="A91" s="142"/>
      <c r="B91" s="155"/>
      <c r="C91" s="169"/>
      <c r="D91" s="155"/>
      <c r="E91" s="155"/>
      <c r="G91" s="164"/>
      <c r="H91" s="179"/>
      <c r="I91" s="155"/>
    </row>
    <row r="92" spans="1:9">
      <c r="A92" s="142"/>
      <c r="B92" s="155"/>
      <c r="C92" s="169"/>
      <c r="D92" s="155"/>
      <c r="E92" s="155"/>
      <c r="G92" s="164"/>
      <c r="H92" s="179"/>
      <c r="I92" s="155"/>
    </row>
    <row r="93" spans="1:9">
      <c r="A93" s="142"/>
      <c r="B93" s="155"/>
      <c r="C93" s="169"/>
      <c r="D93" s="155"/>
      <c r="E93" s="155"/>
      <c r="G93" s="164"/>
      <c r="H93" s="179"/>
      <c r="I93" s="155"/>
    </row>
    <row r="94" spans="1:9">
      <c r="A94" s="142"/>
      <c r="B94" s="155"/>
      <c r="C94" s="169"/>
      <c r="D94" s="155"/>
      <c r="E94" s="155"/>
      <c r="G94" s="164"/>
      <c r="H94" s="179"/>
      <c r="I94" s="155"/>
    </row>
    <row r="95" spans="1:9">
      <c r="A95" s="142"/>
      <c r="B95" s="155"/>
      <c r="C95" s="169"/>
      <c r="D95" s="155"/>
      <c r="E95" s="155"/>
      <c r="G95" s="164"/>
      <c r="H95" s="179"/>
      <c r="I95" s="155"/>
    </row>
    <row r="96" spans="1:9">
      <c r="A96" s="142"/>
      <c r="B96" s="155"/>
      <c r="C96" s="169"/>
      <c r="D96" s="155"/>
      <c r="E96" s="155"/>
      <c r="G96" s="164"/>
      <c r="H96" s="179"/>
      <c r="I96" s="155"/>
    </row>
    <row r="97" spans="1:9">
      <c r="A97" s="142"/>
      <c r="B97" s="155"/>
      <c r="C97" s="169"/>
      <c r="D97" s="155"/>
      <c r="E97" s="155"/>
      <c r="G97" s="164"/>
      <c r="H97" s="179"/>
      <c r="I97" s="155"/>
    </row>
    <row r="98" spans="1:9">
      <c r="A98" s="142"/>
      <c r="B98" s="155"/>
      <c r="C98" s="169"/>
      <c r="D98" s="155"/>
      <c r="E98" s="155"/>
      <c r="G98" s="164"/>
      <c r="H98" s="179"/>
      <c r="I98" s="155"/>
    </row>
    <row r="99" spans="1:9">
      <c r="A99" s="142"/>
      <c r="B99" s="155"/>
      <c r="C99" s="169"/>
      <c r="D99" s="155"/>
      <c r="E99" s="155"/>
      <c r="G99" s="164"/>
      <c r="H99" s="179"/>
      <c r="I99" s="155"/>
    </row>
    <row r="100" spans="1:9">
      <c r="A100" s="142"/>
      <c r="B100" s="155"/>
      <c r="C100" s="169"/>
      <c r="D100" s="155"/>
      <c r="E100" s="155"/>
      <c r="G100" s="164"/>
      <c r="H100" s="179"/>
      <c r="I100" s="155"/>
    </row>
    <row r="101" spans="1:9">
      <c r="A101" s="142"/>
      <c r="B101" s="155"/>
      <c r="C101" s="169"/>
      <c r="D101" s="155"/>
      <c r="E101" s="155"/>
      <c r="G101" s="164"/>
      <c r="H101" s="179"/>
      <c r="I101" s="155"/>
    </row>
    <row r="102" spans="1:9">
      <c r="A102" s="142"/>
      <c r="B102" s="155"/>
      <c r="C102" s="169"/>
      <c r="D102" s="155"/>
      <c r="E102" s="155"/>
      <c r="G102" s="164"/>
      <c r="H102" s="179"/>
      <c r="I102" s="155"/>
    </row>
    <row r="103" spans="1:9">
      <c r="A103" s="142"/>
      <c r="B103" s="155"/>
      <c r="C103" s="169"/>
      <c r="D103" s="155"/>
      <c r="E103" s="155"/>
      <c r="G103" s="164"/>
      <c r="H103" s="179"/>
      <c r="I103" s="155"/>
    </row>
    <row r="104" spans="1:9">
      <c r="A104" s="142"/>
      <c r="B104" s="155"/>
      <c r="C104" s="169"/>
      <c r="D104" s="155"/>
      <c r="E104" s="155"/>
      <c r="G104" s="164"/>
      <c r="H104" s="179"/>
      <c r="I104" s="155"/>
    </row>
    <row r="105" spans="1:9">
      <c r="A105" s="142"/>
      <c r="B105" s="155"/>
      <c r="C105" s="169"/>
      <c r="D105" s="155"/>
      <c r="E105" s="155"/>
      <c r="G105" s="164"/>
      <c r="H105" s="179"/>
      <c r="I105" s="155"/>
    </row>
    <row r="106" spans="1:9">
      <c r="A106" s="142"/>
      <c r="B106" s="155"/>
      <c r="C106" s="169"/>
      <c r="D106" s="155"/>
      <c r="E106" s="155"/>
      <c r="G106" s="164"/>
      <c r="H106" s="179"/>
      <c r="I106" s="155"/>
    </row>
    <row r="107" spans="1:9">
      <c r="A107" s="142"/>
      <c r="B107" s="155"/>
      <c r="C107" s="169"/>
      <c r="D107" s="155"/>
      <c r="E107" s="155"/>
      <c r="G107" s="164"/>
      <c r="H107" s="179"/>
      <c r="I107" s="155"/>
    </row>
    <row r="108" spans="1:9">
      <c r="A108" s="142"/>
      <c r="B108" s="155"/>
      <c r="C108" s="169"/>
      <c r="D108" s="155"/>
      <c r="E108" s="155"/>
      <c r="G108" s="164"/>
      <c r="H108" s="179"/>
      <c r="I108" s="155"/>
    </row>
    <row r="109" spans="1:9">
      <c r="A109" s="142"/>
      <c r="B109" s="155"/>
      <c r="C109" s="169"/>
      <c r="D109" s="155"/>
      <c r="E109" s="155"/>
      <c r="G109" s="164"/>
      <c r="H109" s="179"/>
      <c r="I109" s="155"/>
    </row>
    <row r="110" spans="1:9">
      <c r="A110" s="142"/>
      <c r="B110" s="155"/>
      <c r="C110" s="169"/>
      <c r="D110" s="155"/>
      <c r="E110" s="155"/>
      <c r="G110" s="164"/>
      <c r="H110" s="179"/>
      <c r="I110" s="155"/>
    </row>
    <row r="111" spans="1:9">
      <c r="A111" s="142"/>
      <c r="B111" s="155"/>
      <c r="C111" s="169"/>
      <c r="D111" s="155"/>
      <c r="E111" s="155"/>
      <c r="G111" s="164"/>
      <c r="H111" s="179"/>
      <c r="I111" s="155"/>
    </row>
    <row r="112" spans="1:9">
      <c r="A112" s="142"/>
      <c r="B112" s="155"/>
      <c r="C112" s="169"/>
      <c r="D112" s="155"/>
      <c r="E112" s="155"/>
      <c r="G112" s="164"/>
      <c r="H112" s="179"/>
      <c r="I112" s="155"/>
    </row>
    <row r="113" spans="1:9">
      <c r="A113" s="142"/>
      <c r="B113" s="155"/>
      <c r="C113" s="169"/>
      <c r="D113" s="155"/>
      <c r="E113" s="155"/>
      <c r="G113" s="164"/>
      <c r="H113" s="179"/>
      <c r="I113" s="155"/>
    </row>
    <row r="114" spans="1:9">
      <c r="A114" s="142"/>
      <c r="B114" s="155"/>
      <c r="C114" s="169"/>
      <c r="D114" s="155"/>
      <c r="E114" s="155"/>
      <c r="G114" s="164"/>
      <c r="H114" s="179"/>
      <c r="I114" s="155"/>
    </row>
    <row r="115" spans="1:9">
      <c r="A115" s="142"/>
      <c r="B115" s="155"/>
      <c r="C115" s="169"/>
      <c r="D115" s="155"/>
      <c r="E115" s="155"/>
      <c r="G115" s="164"/>
      <c r="H115" s="179"/>
      <c r="I115" s="155"/>
    </row>
    <row r="116" spans="1:9">
      <c r="A116" s="142"/>
      <c r="B116" s="155"/>
      <c r="C116" s="169"/>
      <c r="D116" s="155"/>
      <c r="E116" s="155"/>
      <c r="G116" s="164"/>
      <c r="H116" s="179"/>
      <c r="I116" s="155"/>
    </row>
    <row r="117" spans="1:9">
      <c r="A117" s="142"/>
      <c r="B117" s="155"/>
      <c r="C117" s="169"/>
      <c r="D117" s="155"/>
      <c r="E117" s="155"/>
      <c r="G117" s="164"/>
      <c r="H117" s="179"/>
      <c r="I117" s="155"/>
    </row>
    <row r="118" spans="1:9">
      <c r="A118" s="142"/>
      <c r="B118" s="155"/>
      <c r="C118" s="169"/>
      <c r="D118" s="155"/>
      <c r="E118" s="155"/>
      <c r="G118" s="164"/>
      <c r="H118" s="179"/>
      <c r="I118" s="155"/>
    </row>
    <row r="119" spans="1:9">
      <c r="A119" s="142"/>
      <c r="B119" s="155"/>
      <c r="C119" s="169"/>
      <c r="D119" s="155"/>
      <c r="E119" s="155"/>
      <c r="G119" s="164"/>
      <c r="H119" s="179"/>
      <c r="I119" s="155"/>
    </row>
    <row r="120" spans="1:9">
      <c r="A120" s="142"/>
      <c r="B120" s="155"/>
      <c r="C120" s="169"/>
      <c r="D120" s="155"/>
      <c r="E120" s="155"/>
      <c r="G120" s="164"/>
      <c r="H120" s="179"/>
      <c r="I120" s="155"/>
    </row>
    <row r="121" spans="1:9">
      <c r="A121" s="142"/>
      <c r="B121" s="155"/>
      <c r="C121" s="169"/>
      <c r="D121" s="155"/>
      <c r="E121" s="155"/>
      <c r="G121" s="164"/>
      <c r="H121" s="179"/>
      <c r="I121" s="155"/>
    </row>
    <row r="122" spans="1:9">
      <c r="A122" s="142"/>
      <c r="B122" s="155"/>
      <c r="C122" s="169"/>
      <c r="D122" s="155"/>
      <c r="E122" s="155"/>
      <c r="G122" s="164"/>
      <c r="H122" s="179"/>
      <c r="I122" s="155"/>
    </row>
    <row r="123" spans="1:9">
      <c r="A123" s="142"/>
      <c r="B123" s="155"/>
      <c r="C123" s="169"/>
      <c r="D123" s="155"/>
      <c r="E123" s="155"/>
      <c r="G123" s="164"/>
      <c r="H123" s="179"/>
      <c r="I123" s="155"/>
    </row>
    <row r="124" spans="1:9">
      <c r="A124" s="142"/>
      <c r="B124" s="155"/>
      <c r="C124" s="169"/>
      <c r="D124" s="155"/>
      <c r="E124" s="155"/>
      <c r="G124" s="164"/>
      <c r="H124" s="179"/>
      <c r="I124" s="155"/>
    </row>
    <row r="125" spans="1:9">
      <c r="A125" s="142"/>
      <c r="B125" s="155"/>
      <c r="C125" s="169"/>
      <c r="D125" s="155"/>
      <c r="E125" s="155"/>
      <c r="G125" s="164"/>
      <c r="H125" s="179"/>
      <c r="I125" s="155"/>
    </row>
    <row r="126" spans="1:9">
      <c r="A126" s="142"/>
      <c r="B126" s="155"/>
      <c r="C126" s="169"/>
      <c r="D126" s="155"/>
      <c r="E126" s="155"/>
      <c r="G126" s="164"/>
      <c r="H126" s="179"/>
      <c r="I126" s="155"/>
    </row>
    <row r="127" spans="1:9">
      <c r="A127" s="142"/>
      <c r="B127" s="155"/>
      <c r="C127" s="169"/>
      <c r="D127" s="155"/>
      <c r="E127" s="155"/>
      <c r="G127" s="164"/>
      <c r="H127" s="179"/>
      <c r="I127" s="155"/>
    </row>
    <row r="128" spans="1:9">
      <c r="A128" s="142"/>
      <c r="B128" s="155"/>
      <c r="C128" s="169"/>
      <c r="D128" s="155"/>
      <c r="E128" s="155"/>
      <c r="G128" s="164"/>
      <c r="H128" s="179"/>
      <c r="I128" s="155"/>
    </row>
    <row r="129" spans="1:9">
      <c r="A129" s="142"/>
      <c r="B129" s="155"/>
      <c r="C129" s="169"/>
      <c r="D129" s="155"/>
      <c r="E129" s="155"/>
      <c r="G129" s="164"/>
      <c r="H129" s="179"/>
      <c r="I129" s="155"/>
    </row>
    <row r="130" spans="1:9">
      <c r="A130" s="142"/>
      <c r="B130" s="155"/>
      <c r="C130" s="169"/>
      <c r="D130" s="155"/>
      <c r="E130" s="155"/>
      <c r="G130" s="164"/>
      <c r="H130" s="179"/>
      <c r="I130" s="155"/>
    </row>
    <row r="131" spans="1:9">
      <c r="A131" s="142"/>
      <c r="B131" s="155"/>
      <c r="C131" s="169"/>
      <c r="D131" s="155"/>
      <c r="E131" s="155"/>
      <c r="G131" s="164"/>
      <c r="H131" s="179"/>
      <c r="I131" s="155"/>
    </row>
    <row r="132" spans="1:9">
      <c r="A132" s="142"/>
      <c r="B132" s="155"/>
      <c r="C132" s="169"/>
      <c r="D132" s="155"/>
      <c r="E132" s="155"/>
      <c r="G132" s="164"/>
      <c r="H132" s="179"/>
      <c r="I132" s="155"/>
    </row>
    <row r="133" spans="1:9">
      <c r="A133" s="142"/>
      <c r="B133" s="155"/>
      <c r="C133" s="169"/>
      <c r="D133" s="155"/>
      <c r="E133" s="155"/>
      <c r="G133" s="164"/>
      <c r="H133" s="179"/>
      <c r="I133" s="155"/>
    </row>
    <row r="134" spans="1:9">
      <c r="A134" s="142"/>
      <c r="B134" s="155"/>
      <c r="C134" s="169"/>
      <c r="D134" s="155"/>
      <c r="E134" s="155"/>
      <c r="G134" s="164"/>
      <c r="H134" s="179"/>
      <c r="I134" s="155"/>
    </row>
    <row r="135" spans="1:9">
      <c r="A135" s="142"/>
      <c r="B135" s="155"/>
      <c r="C135" s="169"/>
      <c r="D135" s="155"/>
      <c r="E135" s="155"/>
      <c r="G135" s="164"/>
      <c r="H135" s="179"/>
      <c r="I135" s="155"/>
    </row>
    <row r="136" spans="1:9">
      <c r="A136" s="142"/>
      <c r="B136" s="155"/>
      <c r="C136" s="169"/>
      <c r="D136" s="155"/>
      <c r="E136" s="155"/>
      <c r="G136" s="164"/>
      <c r="H136" s="179"/>
      <c r="I136" s="155"/>
    </row>
    <row r="137" spans="1:9">
      <c r="A137" s="142"/>
      <c r="B137" s="155"/>
      <c r="C137" s="169"/>
      <c r="D137" s="155"/>
      <c r="E137" s="155"/>
      <c r="G137" s="164"/>
      <c r="H137" s="179"/>
      <c r="I137" s="155"/>
    </row>
    <row r="138" spans="1:9">
      <c r="A138" s="142"/>
      <c r="B138" s="155"/>
      <c r="C138" s="169"/>
      <c r="D138" s="155"/>
      <c r="E138" s="155"/>
      <c r="G138" s="164"/>
      <c r="H138" s="179"/>
      <c r="I138" s="155"/>
    </row>
    <row r="139" spans="1:9">
      <c r="A139" s="142"/>
      <c r="B139" s="155"/>
      <c r="C139" s="169"/>
      <c r="D139" s="155"/>
      <c r="E139" s="155"/>
      <c r="G139" s="164"/>
      <c r="H139" s="179"/>
      <c r="I139" s="155"/>
    </row>
    <row r="140" spans="1:9">
      <c r="A140" s="142"/>
      <c r="B140" s="155"/>
      <c r="C140" s="169"/>
      <c r="D140" s="155"/>
      <c r="E140" s="155"/>
      <c r="G140" s="164"/>
      <c r="H140" s="179"/>
      <c r="I140" s="155"/>
    </row>
    <row r="141" spans="1:9">
      <c r="A141" s="142"/>
      <c r="B141" s="155"/>
      <c r="C141" s="169"/>
      <c r="D141" s="155"/>
      <c r="E141" s="155"/>
      <c r="G141" s="164"/>
      <c r="H141" s="179"/>
      <c r="I141" s="155"/>
    </row>
    <row r="142" spans="1:9">
      <c r="A142" s="142"/>
      <c r="B142" s="155"/>
      <c r="C142" s="169"/>
      <c r="D142" s="155"/>
      <c r="E142" s="155"/>
      <c r="G142" s="164"/>
      <c r="H142" s="179"/>
      <c r="I142" s="155"/>
    </row>
    <row r="143" spans="1:9">
      <c r="A143" s="142"/>
      <c r="B143" s="155"/>
      <c r="C143" s="169"/>
      <c r="D143" s="155"/>
      <c r="E143" s="155"/>
      <c r="G143" s="164"/>
      <c r="H143" s="179"/>
      <c r="I143" s="155"/>
    </row>
    <row r="144" spans="1:9">
      <c r="A144" s="142"/>
      <c r="B144" s="155"/>
      <c r="C144" s="169"/>
      <c r="D144" s="155"/>
      <c r="E144" s="155"/>
      <c r="G144" s="164"/>
      <c r="H144" s="179"/>
      <c r="I144" s="155"/>
    </row>
    <row r="145" spans="1:9">
      <c r="A145" s="142"/>
      <c r="B145" s="155"/>
      <c r="C145" s="169"/>
      <c r="D145" s="155"/>
      <c r="E145" s="155"/>
      <c r="G145" s="164"/>
      <c r="H145" s="179"/>
      <c r="I145" s="155"/>
    </row>
    <row r="146" spans="1:9">
      <c r="A146" s="142"/>
      <c r="B146" s="155"/>
      <c r="C146" s="169"/>
      <c r="D146" s="155"/>
      <c r="E146" s="155"/>
      <c r="G146" s="164"/>
      <c r="H146" s="179"/>
      <c r="I146" s="155"/>
    </row>
    <row r="147" spans="1:9">
      <c r="A147" s="142"/>
      <c r="B147" s="155"/>
      <c r="C147" s="169"/>
      <c r="D147" s="155"/>
      <c r="E147" s="155"/>
      <c r="G147" s="164"/>
      <c r="H147" s="179"/>
      <c r="I147" s="155"/>
    </row>
    <row r="148" spans="1:9">
      <c r="A148" s="142"/>
      <c r="B148" s="155"/>
      <c r="C148" s="169"/>
      <c r="D148" s="155"/>
      <c r="E148" s="155"/>
      <c r="G148" s="164"/>
      <c r="H148" s="179"/>
      <c r="I148" s="155"/>
    </row>
    <row r="149" spans="1:9">
      <c r="A149" s="142"/>
      <c r="B149" s="155"/>
      <c r="C149" s="169"/>
      <c r="D149" s="155"/>
      <c r="E149" s="155"/>
      <c r="G149" s="164"/>
      <c r="H149" s="179"/>
      <c r="I149" s="155"/>
    </row>
    <row r="150" spans="1:9">
      <c r="A150" s="142"/>
      <c r="B150" s="155"/>
      <c r="C150" s="169"/>
      <c r="D150" s="155"/>
      <c r="E150" s="155"/>
      <c r="G150" s="164"/>
      <c r="H150" s="179"/>
      <c r="I150" s="155"/>
    </row>
    <row r="151" spans="1:9">
      <c r="A151" s="142"/>
      <c r="B151" s="155"/>
      <c r="C151" s="169"/>
      <c r="D151" s="155"/>
      <c r="E151" s="155"/>
      <c r="G151" s="164"/>
      <c r="H151" s="179"/>
      <c r="I151" s="155"/>
    </row>
    <row r="152" spans="1:9">
      <c r="A152" s="142"/>
      <c r="B152" s="155"/>
      <c r="C152" s="169"/>
      <c r="D152" s="155"/>
      <c r="E152" s="155"/>
      <c r="G152" s="164"/>
      <c r="H152" s="179"/>
      <c r="I152" s="155"/>
    </row>
    <row r="153" spans="1:9">
      <c r="A153" s="142"/>
      <c r="B153" s="155"/>
      <c r="C153" s="169"/>
      <c r="D153" s="155"/>
      <c r="E153" s="155"/>
      <c r="G153" s="164"/>
      <c r="H153" s="179"/>
      <c r="I153" s="155"/>
    </row>
    <row r="154" spans="1:9">
      <c r="A154" s="142"/>
      <c r="B154" s="155"/>
      <c r="C154" s="169"/>
      <c r="D154" s="155"/>
      <c r="E154" s="155"/>
      <c r="G154" s="164"/>
      <c r="H154" s="179"/>
      <c r="I154" s="155"/>
    </row>
    <row r="155" spans="1:9">
      <c r="A155" s="142"/>
      <c r="B155" s="155"/>
      <c r="C155" s="169"/>
      <c r="D155" s="155"/>
      <c r="E155" s="155"/>
      <c r="G155" s="164"/>
      <c r="H155" s="179"/>
      <c r="I155" s="155"/>
    </row>
    <row r="156" spans="1:9">
      <c r="A156" s="142"/>
      <c r="B156" s="155"/>
      <c r="C156" s="169"/>
      <c r="D156" s="155"/>
      <c r="E156" s="155"/>
      <c r="G156" s="164"/>
      <c r="H156" s="179"/>
      <c r="I156" s="155"/>
    </row>
    <row r="157" spans="1:9">
      <c r="A157" s="142"/>
      <c r="B157" s="155"/>
      <c r="C157" s="169"/>
      <c r="D157" s="155"/>
      <c r="E157" s="155"/>
      <c r="G157" s="164"/>
      <c r="H157" s="179"/>
      <c r="I157" s="155"/>
    </row>
    <row r="158" spans="1:9">
      <c r="A158" s="142"/>
      <c r="B158" s="155"/>
      <c r="C158" s="169"/>
      <c r="D158" s="155"/>
      <c r="E158" s="155"/>
      <c r="G158" s="164"/>
      <c r="H158" s="179"/>
      <c r="I158" s="155"/>
    </row>
    <row r="159" spans="1:9">
      <c r="A159" s="142"/>
      <c r="B159" s="155"/>
      <c r="C159" s="169"/>
      <c r="D159" s="155"/>
      <c r="E159" s="155"/>
      <c r="G159" s="164"/>
      <c r="H159" s="179"/>
      <c r="I159" s="155"/>
    </row>
    <row r="160" spans="1:9">
      <c r="A160" s="142"/>
      <c r="B160" s="155"/>
      <c r="C160" s="169"/>
      <c r="D160" s="155"/>
      <c r="E160" s="155"/>
      <c r="G160" s="164"/>
      <c r="H160" s="179"/>
      <c r="I160" s="155"/>
    </row>
    <row r="161" spans="1:9">
      <c r="A161" s="142"/>
      <c r="B161" s="155"/>
      <c r="C161" s="169"/>
      <c r="D161" s="155"/>
      <c r="E161" s="155"/>
      <c r="G161" s="164"/>
      <c r="H161" s="179"/>
      <c r="I161" s="155"/>
    </row>
    <row r="162" spans="1:9">
      <c r="A162" s="142"/>
      <c r="B162" s="155"/>
      <c r="C162" s="169"/>
      <c r="D162" s="155"/>
      <c r="E162" s="155"/>
      <c r="G162" s="164"/>
      <c r="H162" s="179"/>
      <c r="I162" s="155"/>
    </row>
    <row r="163" spans="1:9">
      <c r="A163" s="142"/>
      <c r="B163" s="155"/>
      <c r="C163" s="169"/>
      <c r="D163" s="155"/>
      <c r="E163" s="155"/>
      <c r="G163" s="164"/>
      <c r="H163" s="179"/>
      <c r="I163" s="155"/>
    </row>
    <row r="164" spans="1:9">
      <c r="A164" s="142"/>
      <c r="B164" s="155"/>
      <c r="C164" s="169"/>
      <c r="D164" s="155"/>
      <c r="E164" s="155"/>
      <c r="G164" s="164"/>
      <c r="H164" s="179"/>
      <c r="I164" s="155"/>
    </row>
    <row r="165" spans="1:9">
      <c r="A165" s="142"/>
      <c r="B165" s="155"/>
      <c r="C165" s="169"/>
      <c r="D165" s="155"/>
      <c r="E165" s="155"/>
      <c r="G165" s="164"/>
      <c r="H165" s="179"/>
      <c r="I165" s="155"/>
    </row>
    <row r="166" spans="1:9">
      <c r="A166" s="142"/>
      <c r="B166" s="155"/>
      <c r="C166" s="169"/>
      <c r="D166" s="155"/>
      <c r="E166" s="155"/>
      <c r="G166" s="164"/>
      <c r="H166" s="179"/>
      <c r="I166" s="155"/>
    </row>
    <row r="167" spans="1:9">
      <c r="A167" s="142"/>
      <c r="B167" s="155"/>
      <c r="C167" s="169"/>
      <c r="D167" s="155"/>
      <c r="E167" s="155"/>
      <c r="G167" s="164"/>
      <c r="H167" s="179"/>
      <c r="I167" s="155"/>
    </row>
    <row r="168" spans="1:9">
      <c r="A168" s="142"/>
      <c r="B168" s="155"/>
      <c r="C168" s="169"/>
      <c r="D168" s="155"/>
      <c r="E168" s="155"/>
      <c r="G168" s="164"/>
      <c r="H168" s="179"/>
      <c r="I168" s="155"/>
    </row>
    <row r="169" spans="1:9">
      <c r="A169" s="142"/>
      <c r="B169" s="155"/>
      <c r="C169" s="169"/>
      <c r="D169" s="155"/>
      <c r="E169" s="155"/>
      <c r="G169" s="164"/>
      <c r="H169" s="179"/>
      <c r="I169" s="155"/>
    </row>
    <row r="170" spans="1:9">
      <c r="A170" s="142"/>
      <c r="B170" s="155"/>
      <c r="C170" s="169"/>
      <c r="D170" s="155"/>
      <c r="E170" s="155"/>
      <c r="G170" s="164"/>
      <c r="H170" s="179"/>
      <c r="I170" s="155"/>
    </row>
    <row r="171" spans="1:9">
      <c r="A171" s="142"/>
      <c r="B171" s="155"/>
      <c r="C171" s="169"/>
      <c r="D171" s="155"/>
      <c r="E171" s="155"/>
      <c r="G171" s="164"/>
      <c r="H171" s="179"/>
      <c r="I171" s="155"/>
    </row>
    <row r="172" spans="1:9">
      <c r="A172" s="142"/>
      <c r="B172" s="155"/>
      <c r="C172" s="169"/>
      <c r="D172" s="155"/>
      <c r="E172" s="155"/>
      <c r="G172" s="164"/>
      <c r="H172" s="179"/>
      <c r="I172" s="155"/>
    </row>
    <row r="173" spans="1:9">
      <c r="A173" s="142"/>
      <c r="B173" s="155"/>
      <c r="C173" s="169"/>
      <c r="D173" s="155"/>
      <c r="E173" s="155"/>
      <c r="G173" s="164"/>
      <c r="H173" s="179"/>
      <c r="I173" s="155"/>
    </row>
    <row r="174" spans="1:9">
      <c r="A174" s="142"/>
      <c r="B174" s="155"/>
      <c r="C174" s="169"/>
      <c r="D174" s="155"/>
      <c r="E174" s="155"/>
      <c r="G174" s="164"/>
      <c r="H174" s="179"/>
      <c r="I174" s="155"/>
    </row>
    <row r="175" spans="1:9">
      <c r="A175" s="142"/>
      <c r="B175" s="155"/>
      <c r="C175" s="169"/>
      <c r="D175" s="155"/>
      <c r="E175" s="155"/>
      <c r="G175" s="164"/>
      <c r="H175" s="179"/>
      <c r="I175" s="155"/>
    </row>
    <row r="176" spans="1:9">
      <c r="A176" s="142"/>
      <c r="B176" s="155"/>
      <c r="C176" s="169"/>
      <c r="D176" s="155"/>
      <c r="E176" s="155"/>
      <c r="G176" s="164"/>
      <c r="H176" s="179"/>
      <c r="I176" s="155"/>
    </row>
    <row r="177" spans="1:9">
      <c r="A177" s="142"/>
      <c r="B177" s="155"/>
      <c r="C177" s="169"/>
      <c r="D177" s="155"/>
      <c r="E177" s="155"/>
      <c r="G177" s="164"/>
      <c r="H177" s="179"/>
      <c r="I177" s="155"/>
    </row>
    <row r="178" spans="1:9">
      <c r="A178" s="142"/>
      <c r="B178" s="155"/>
      <c r="C178" s="169"/>
      <c r="D178" s="155"/>
      <c r="E178" s="155"/>
      <c r="G178" s="164"/>
      <c r="H178" s="179"/>
      <c r="I178" s="155"/>
    </row>
    <row r="179" spans="1:9">
      <c r="A179" s="142"/>
      <c r="B179" s="155"/>
      <c r="C179" s="169"/>
      <c r="D179" s="155"/>
      <c r="E179" s="155"/>
      <c r="G179" s="164"/>
      <c r="H179" s="179"/>
      <c r="I179" s="155"/>
    </row>
    <row r="180" spans="1:9">
      <c r="A180" s="142"/>
      <c r="B180" s="155"/>
      <c r="C180" s="169"/>
      <c r="D180" s="155"/>
      <c r="E180" s="155"/>
      <c r="G180" s="164"/>
      <c r="H180" s="179"/>
      <c r="I180" s="155"/>
    </row>
    <row r="181" spans="1:9">
      <c r="A181" s="142"/>
      <c r="B181" s="155"/>
      <c r="C181" s="169"/>
      <c r="D181" s="155"/>
      <c r="E181" s="155"/>
      <c r="G181" s="164"/>
      <c r="H181" s="179"/>
      <c r="I181" s="155"/>
    </row>
    <row r="182" spans="1:9">
      <c r="A182" s="142"/>
      <c r="B182" s="155"/>
      <c r="C182" s="169"/>
      <c r="D182" s="155"/>
      <c r="E182" s="155"/>
      <c r="G182" s="164"/>
      <c r="H182" s="179"/>
      <c r="I182" s="155"/>
    </row>
    <row r="183" spans="1:9">
      <c r="A183" s="142"/>
      <c r="B183" s="155"/>
      <c r="C183" s="169"/>
      <c r="D183" s="155"/>
      <c r="E183" s="155"/>
      <c r="G183" s="164"/>
      <c r="H183" s="179"/>
      <c r="I183" s="155"/>
    </row>
    <row r="184" spans="1:9">
      <c r="A184" s="142"/>
      <c r="B184" s="155"/>
      <c r="C184" s="169"/>
      <c r="D184" s="155"/>
      <c r="E184" s="155"/>
      <c r="G184" s="164"/>
      <c r="H184" s="179"/>
      <c r="I184" s="155"/>
    </row>
    <row r="185" spans="1:9">
      <c r="A185" s="142"/>
      <c r="B185" s="155"/>
      <c r="C185" s="169"/>
      <c r="D185" s="155"/>
      <c r="E185" s="155"/>
      <c r="G185" s="164"/>
      <c r="H185" s="179"/>
      <c r="I185" s="155"/>
    </row>
    <row r="186" spans="1:9">
      <c r="A186" s="142"/>
      <c r="B186" s="155"/>
      <c r="C186" s="169"/>
      <c r="D186" s="155"/>
      <c r="E186" s="155"/>
      <c r="G186" s="164"/>
      <c r="H186" s="179"/>
      <c r="I186" s="155"/>
    </row>
    <row r="187" spans="1:9">
      <c r="A187" s="142"/>
      <c r="B187" s="155"/>
      <c r="C187" s="169"/>
      <c r="D187" s="155"/>
      <c r="E187" s="155"/>
      <c r="G187" s="164"/>
      <c r="H187" s="179"/>
      <c r="I187" s="155"/>
    </row>
    <row r="188" spans="1:9">
      <c r="A188" s="142"/>
      <c r="B188" s="155"/>
      <c r="C188" s="169"/>
      <c r="D188" s="155"/>
      <c r="E188" s="155"/>
      <c r="G188" s="164"/>
      <c r="H188" s="179"/>
      <c r="I188" s="155"/>
    </row>
    <row r="189" spans="1:9">
      <c r="A189" s="142"/>
      <c r="B189" s="155"/>
      <c r="C189" s="169"/>
      <c r="D189" s="155"/>
      <c r="E189" s="155"/>
      <c r="G189" s="164"/>
      <c r="H189" s="179"/>
      <c r="I189" s="155"/>
    </row>
    <row r="190" spans="1:9">
      <c r="A190" s="142"/>
      <c r="B190" s="155"/>
      <c r="C190" s="169"/>
      <c r="D190" s="155"/>
      <c r="E190" s="155"/>
      <c r="G190" s="164"/>
      <c r="H190" s="179"/>
      <c r="I190" s="155"/>
    </row>
    <row r="191" spans="1:9">
      <c r="A191" s="142"/>
      <c r="B191" s="155"/>
      <c r="C191" s="169"/>
      <c r="D191" s="155"/>
      <c r="E191" s="155"/>
      <c r="G191" s="164"/>
      <c r="H191" s="179"/>
      <c r="I191" s="155"/>
    </row>
    <row r="192" spans="1:9">
      <c r="A192" s="142"/>
      <c r="B192" s="155"/>
      <c r="C192" s="169"/>
      <c r="D192" s="155"/>
      <c r="E192" s="155"/>
      <c r="G192" s="164"/>
      <c r="H192" s="179"/>
      <c r="I192" s="155"/>
    </row>
    <row r="193" spans="1:9">
      <c r="A193" s="142"/>
      <c r="B193" s="155"/>
      <c r="C193" s="169"/>
      <c r="D193" s="155"/>
      <c r="E193" s="155"/>
      <c r="G193" s="164"/>
      <c r="H193" s="179"/>
      <c r="I193" s="155"/>
    </row>
    <row r="194" spans="1:9">
      <c r="A194" s="142"/>
      <c r="B194" s="155"/>
      <c r="C194" s="169"/>
      <c r="D194" s="155"/>
      <c r="E194" s="155"/>
      <c r="G194" s="164"/>
      <c r="H194" s="179"/>
      <c r="I194" s="155"/>
    </row>
    <row r="195" spans="1:9">
      <c r="A195" s="142"/>
      <c r="B195" s="155"/>
      <c r="C195" s="169"/>
      <c r="D195" s="155"/>
      <c r="E195" s="155"/>
      <c r="G195" s="164"/>
      <c r="H195" s="179"/>
      <c r="I195" s="155"/>
    </row>
    <row r="196" spans="1:9">
      <c r="A196" s="142"/>
      <c r="B196" s="155"/>
      <c r="C196" s="169"/>
      <c r="D196" s="155"/>
      <c r="E196" s="155"/>
      <c r="G196" s="164"/>
      <c r="H196" s="179"/>
      <c r="I196" s="155"/>
    </row>
    <row r="197" spans="1:9">
      <c r="A197" s="142"/>
      <c r="B197" s="155"/>
      <c r="C197" s="169"/>
      <c r="D197" s="155"/>
      <c r="E197" s="155"/>
      <c r="G197" s="164"/>
      <c r="H197" s="179"/>
      <c r="I197" s="155"/>
    </row>
    <row r="198" spans="1:9">
      <c r="A198" s="142"/>
      <c r="B198" s="155"/>
      <c r="C198" s="169"/>
      <c r="D198" s="155"/>
      <c r="E198" s="155"/>
      <c r="G198" s="164"/>
      <c r="H198" s="179"/>
      <c r="I198" s="155"/>
    </row>
    <row r="199" spans="1:9">
      <c r="A199" s="142"/>
      <c r="B199" s="155"/>
      <c r="C199" s="169"/>
      <c r="D199" s="155"/>
      <c r="E199" s="155"/>
      <c r="G199" s="164"/>
      <c r="H199" s="179"/>
      <c r="I199" s="155"/>
    </row>
    <row r="200" spans="1:9">
      <c r="A200" s="142"/>
      <c r="B200" s="155"/>
      <c r="C200" s="169"/>
      <c r="D200" s="155"/>
      <c r="E200" s="155"/>
      <c r="G200" s="164"/>
      <c r="H200" s="179"/>
      <c r="I200" s="155"/>
    </row>
    <row r="201" spans="1:9">
      <c r="A201" s="142"/>
      <c r="B201" s="155"/>
      <c r="C201" s="169"/>
      <c r="D201" s="155"/>
      <c r="E201" s="155"/>
      <c r="G201" s="164"/>
      <c r="H201" s="179"/>
      <c r="I201" s="155"/>
    </row>
    <row r="202" spans="1:9">
      <c r="A202" s="142"/>
      <c r="B202" s="155"/>
      <c r="C202" s="169"/>
      <c r="D202" s="155"/>
      <c r="E202" s="155"/>
      <c r="G202" s="164"/>
      <c r="H202" s="179"/>
      <c r="I202" s="155"/>
    </row>
    <row r="203" spans="1:9">
      <c r="A203" s="142"/>
      <c r="B203" s="155"/>
      <c r="C203" s="169"/>
      <c r="D203" s="155"/>
      <c r="E203" s="155"/>
      <c r="G203" s="164"/>
      <c r="H203" s="179"/>
      <c r="I203" s="155"/>
    </row>
    <row r="204" spans="1:9">
      <c r="A204" s="142"/>
      <c r="B204" s="155"/>
      <c r="C204" s="169"/>
      <c r="D204" s="155"/>
      <c r="E204" s="155"/>
      <c r="G204" s="164"/>
      <c r="H204" s="179"/>
      <c r="I204" s="155"/>
    </row>
    <row r="205" spans="1:9">
      <c r="A205" s="142"/>
      <c r="B205" s="155"/>
      <c r="C205" s="169"/>
      <c r="D205" s="155"/>
      <c r="E205" s="155"/>
      <c r="G205" s="164"/>
      <c r="H205" s="179"/>
      <c r="I205" s="155"/>
    </row>
    <row r="206" spans="1:9">
      <c r="A206" s="142"/>
      <c r="B206" s="155"/>
      <c r="C206" s="169"/>
      <c r="D206" s="155"/>
      <c r="E206" s="155"/>
      <c r="G206" s="164"/>
      <c r="H206" s="179"/>
      <c r="I206" s="155"/>
    </row>
    <row r="207" spans="1:9">
      <c r="A207" s="142"/>
      <c r="B207" s="155"/>
      <c r="C207" s="169"/>
      <c r="D207" s="155"/>
      <c r="E207" s="155"/>
      <c r="G207" s="164"/>
      <c r="H207" s="179"/>
      <c r="I207" s="155"/>
    </row>
    <row r="208" spans="1:9">
      <c r="A208" s="142"/>
      <c r="B208" s="155"/>
      <c r="C208" s="169"/>
      <c r="D208" s="155"/>
      <c r="E208" s="155"/>
      <c r="G208" s="164"/>
      <c r="H208" s="179"/>
      <c r="I208" s="155"/>
    </row>
    <row r="209" spans="1:9">
      <c r="A209" s="142"/>
      <c r="B209" s="155"/>
      <c r="C209" s="169"/>
      <c r="D209" s="155"/>
      <c r="E209" s="155"/>
      <c r="G209" s="164"/>
      <c r="H209" s="179"/>
      <c r="I209" s="155"/>
    </row>
    <row r="210" spans="1:9">
      <c r="A210" s="142"/>
      <c r="B210" s="155"/>
      <c r="C210" s="169"/>
      <c r="D210" s="155"/>
      <c r="E210" s="155"/>
      <c r="G210" s="164"/>
      <c r="H210" s="179"/>
      <c r="I210" s="155"/>
    </row>
    <row r="211" spans="1:9">
      <c r="A211" s="142"/>
      <c r="B211" s="155"/>
      <c r="C211" s="169"/>
      <c r="D211" s="155"/>
      <c r="E211" s="155"/>
      <c r="G211" s="164"/>
      <c r="H211" s="179"/>
      <c r="I211" s="155"/>
    </row>
    <row r="212" spans="1:9">
      <c r="A212" s="142"/>
      <c r="B212" s="155"/>
      <c r="C212" s="169"/>
      <c r="D212" s="155"/>
      <c r="E212" s="155"/>
      <c r="G212" s="164"/>
      <c r="H212" s="179"/>
      <c r="I212" s="155"/>
    </row>
    <row r="213" spans="1:9">
      <c r="A213" s="142"/>
      <c r="B213" s="155"/>
      <c r="C213" s="169"/>
      <c r="D213" s="155"/>
      <c r="E213" s="155"/>
      <c r="G213" s="164"/>
      <c r="H213" s="179"/>
      <c r="I213" s="155"/>
    </row>
    <row r="214" spans="1:9">
      <c r="A214" s="142"/>
      <c r="B214" s="155"/>
      <c r="C214" s="169"/>
      <c r="D214" s="155"/>
      <c r="E214" s="155"/>
      <c r="G214" s="164"/>
      <c r="H214" s="179"/>
      <c r="I214" s="155"/>
    </row>
    <row r="215" spans="1:9">
      <c r="A215" s="142"/>
      <c r="B215" s="155"/>
      <c r="C215" s="169"/>
      <c r="D215" s="155"/>
      <c r="E215" s="155"/>
      <c r="G215" s="164"/>
      <c r="H215" s="179"/>
      <c r="I215" s="155"/>
    </row>
    <row r="216" spans="1:9">
      <c r="A216" s="142"/>
      <c r="B216" s="155"/>
      <c r="C216" s="169"/>
      <c r="D216" s="155"/>
      <c r="E216" s="155"/>
      <c r="G216" s="164"/>
      <c r="H216" s="179"/>
      <c r="I216" s="155"/>
    </row>
    <row r="217" spans="1:9">
      <c r="A217" s="142"/>
      <c r="B217" s="155"/>
      <c r="C217" s="169"/>
      <c r="D217" s="155"/>
      <c r="E217" s="155"/>
      <c r="G217" s="164"/>
      <c r="H217" s="179"/>
      <c r="I217" s="155"/>
    </row>
    <row r="218" spans="1:9">
      <c r="A218" s="142"/>
      <c r="B218" s="155"/>
      <c r="C218" s="169"/>
      <c r="D218" s="155"/>
      <c r="E218" s="155"/>
      <c r="G218" s="164"/>
      <c r="H218" s="179"/>
      <c r="I218" s="155"/>
    </row>
    <row r="219" spans="1:9">
      <c r="A219" s="142"/>
      <c r="B219" s="155"/>
      <c r="C219" s="169"/>
      <c r="D219" s="155"/>
      <c r="E219" s="155"/>
      <c r="G219" s="164"/>
      <c r="H219" s="179"/>
      <c r="I219" s="155"/>
    </row>
    <row r="220" spans="1:9">
      <c r="A220" s="142"/>
      <c r="B220" s="155"/>
      <c r="C220" s="169"/>
      <c r="D220" s="155"/>
      <c r="E220" s="155"/>
      <c r="G220" s="164"/>
      <c r="H220" s="179"/>
      <c r="I220" s="155"/>
    </row>
    <row r="221" spans="1:9">
      <c r="A221" s="142"/>
      <c r="B221" s="155"/>
      <c r="C221" s="169"/>
      <c r="D221" s="155"/>
      <c r="E221" s="155"/>
      <c r="G221" s="164"/>
      <c r="H221" s="179"/>
      <c r="I221" s="155"/>
    </row>
    <row r="222" spans="1:9">
      <c r="A222" s="142"/>
      <c r="B222" s="155"/>
      <c r="C222" s="169"/>
      <c r="D222" s="155"/>
      <c r="E222" s="155"/>
      <c r="G222" s="164"/>
      <c r="H222" s="179"/>
      <c r="I222" s="155"/>
    </row>
    <row r="223" spans="1:9">
      <c r="A223" s="142"/>
      <c r="B223" s="155"/>
      <c r="C223" s="169"/>
      <c r="D223" s="155"/>
      <c r="E223" s="155"/>
      <c r="G223" s="164"/>
      <c r="H223" s="179"/>
      <c r="I223" s="155"/>
    </row>
    <row r="224" spans="1:9">
      <c r="A224" s="142"/>
      <c r="B224" s="155"/>
      <c r="C224" s="169"/>
      <c r="D224" s="155"/>
      <c r="E224" s="155"/>
      <c r="G224" s="164"/>
      <c r="H224" s="179"/>
      <c r="I224" s="155"/>
    </row>
    <row r="225" spans="1:9">
      <c r="A225" s="142"/>
      <c r="B225" s="155"/>
      <c r="C225" s="169"/>
      <c r="D225" s="155"/>
      <c r="E225" s="155"/>
      <c r="G225" s="164"/>
      <c r="H225" s="179"/>
      <c r="I225" s="155"/>
    </row>
    <row r="226" spans="1:9">
      <c r="A226" s="142"/>
      <c r="B226" s="155"/>
      <c r="C226" s="169"/>
      <c r="D226" s="155"/>
      <c r="E226" s="155"/>
      <c r="G226" s="164"/>
      <c r="H226" s="179"/>
      <c r="I226" s="155"/>
    </row>
    <row r="227" spans="1:9">
      <c r="A227" s="142"/>
      <c r="B227" s="155"/>
      <c r="C227" s="169"/>
      <c r="D227" s="155"/>
      <c r="E227" s="155"/>
      <c r="G227" s="164"/>
      <c r="H227" s="179"/>
      <c r="I227" s="155"/>
    </row>
    <row r="228" spans="1:9">
      <c r="A228" s="142"/>
      <c r="B228" s="155"/>
      <c r="C228" s="169"/>
      <c r="D228" s="155"/>
      <c r="E228" s="155"/>
      <c r="G228" s="164"/>
      <c r="H228" s="179"/>
      <c r="I228" s="155"/>
    </row>
    <row r="229" spans="1:9">
      <c r="A229" s="142"/>
      <c r="B229" s="155"/>
      <c r="C229" s="169"/>
      <c r="D229" s="155"/>
      <c r="E229" s="155"/>
      <c r="G229" s="164"/>
      <c r="H229" s="179"/>
      <c r="I229" s="155"/>
    </row>
    <row r="230" spans="1:9">
      <c r="A230" s="142"/>
      <c r="B230" s="155"/>
      <c r="C230" s="169"/>
      <c r="D230" s="155"/>
      <c r="E230" s="155"/>
      <c r="G230" s="164"/>
      <c r="H230" s="179"/>
      <c r="I230" s="155"/>
    </row>
    <row r="231" spans="1:9">
      <c r="A231" s="142"/>
      <c r="B231" s="155"/>
      <c r="C231" s="169"/>
      <c r="D231" s="155"/>
      <c r="E231" s="155"/>
      <c r="G231" s="164"/>
      <c r="H231" s="179"/>
      <c r="I231" s="155"/>
    </row>
    <row r="232" spans="1:9">
      <c r="A232" s="142"/>
      <c r="B232" s="155"/>
      <c r="C232" s="169"/>
      <c r="D232" s="155"/>
      <c r="E232" s="155"/>
      <c r="G232" s="164"/>
      <c r="H232" s="179"/>
      <c r="I232" s="155"/>
    </row>
    <row r="233" spans="1:9">
      <c r="A233" s="142"/>
      <c r="B233" s="155"/>
      <c r="C233" s="169"/>
      <c r="D233" s="155"/>
      <c r="E233" s="155"/>
      <c r="G233" s="164"/>
      <c r="H233" s="179"/>
      <c r="I233" s="155"/>
    </row>
    <row r="234" spans="1:9">
      <c r="A234" s="142"/>
      <c r="B234" s="155"/>
      <c r="C234" s="169"/>
      <c r="D234" s="155"/>
      <c r="E234" s="155"/>
      <c r="G234" s="164"/>
      <c r="H234" s="179"/>
      <c r="I234" s="155"/>
    </row>
    <row r="235" spans="1:9">
      <c r="A235" s="142"/>
      <c r="B235" s="155"/>
      <c r="C235" s="169"/>
      <c r="D235" s="155"/>
      <c r="E235" s="155"/>
      <c r="G235" s="164"/>
      <c r="H235" s="179"/>
      <c r="I235" s="155"/>
    </row>
    <row r="236" spans="1:9">
      <c r="A236" s="142"/>
      <c r="B236" s="155"/>
      <c r="C236" s="169"/>
      <c r="D236" s="155"/>
      <c r="E236" s="155"/>
      <c r="G236" s="164"/>
      <c r="H236" s="179"/>
      <c r="I236" s="155"/>
    </row>
    <row r="237" spans="1:9">
      <c r="A237" s="142"/>
      <c r="B237" s="155"/>
      <c r="C237" s="169"/>
      <c r="D237" s="155"/>
      <c r="E237" s="155"/>
      <c r="G237" s="164"/>
      <c r="H237" s="179"/>
      <c r="I237" s="155"/>
    </row>
    <row r="238" spans="1:9">
      <c r="A238" s="142"/>
      <c r="B238" s="155"/>
      <c r="C238" s="169"/>
      <c r="D238" s="155"/>
      <c r="E238" s="155"/>
      <c r="G238" s="164"/>
      <c r="H238" s="179"/>
      <c r="I238" s="155"/>
    </row>
    <row r="239" spans="1:9">
      <c r="A239" s="142"/>
      <c r="B239" s="155"/>
      <c r="C239" s="169"/>
      <c r="D239" s="155"/>
      <c r="E239" s="155"/>
      <c r="G239" s="164"/>
      <c r="H239" s="179"/>
      <c r="I239" s="155"/>
    </row>
    <row r="240" spans="1:9">
      <c r="A240" s="142"/>
      <c r="B240" s="155"/>
      <c r="C240" s="169"/>
      <c r="D240" s="155"/>
      <c r="E240" s="155"/>
      <c r="G240" s="164"/>
      <c r="H240" s="179"/>
      <c r="I240" s="155"/>
    </row>
    <row r="241" spans="1:9">
      <c r="A241" s="142"/>
      <c r="B241" s="155"/>
      <c r="C241" s="169"/>
      <c r="D241" s="155"/>
      <c r="E241" s="155"/>
      <c r="G241" s="164"/>
      <c r="H241" s="179"/>
      <c r="I241" s="155"/>
    </row>
    <row r="242" spans="1:9">
      <c r="A242" s="142"/>
      <c r="B242" s="155"/>
      <c r="C242" s="169"/>
      <c r="D242" s="155"/>
      <c r="E242" s="155"/>
      <c r="G242" s="164"/>
      <c r="H242" s="179"/>
      <c r="I242" s="155"/>
    </row>
    <row r="243" spans="1:9">
      <c r="A243" s="142"/>
      <c r="B243" s="155"/>
      <c r="C243" s="169"/>
      <c r="D243" s="155"/>
      <c r="E243" s="155"/>
      <c r="G243" s="164"/>
      <c r="H243" s="179"/>
      <c r="I243" s="155"/>
    </row>
    <row r="244" spans="1:9">
      <c r="A244" s="142"/>
      <c r="B244" s="155"/>
      <c r="C244" s="169"/>
      <c r="D244" s="155"/>
      <c r="E244" s="155"/>
      <c r="G244" s="164"/>
      <c r="H244" s="179"/>
      <c r="I244" s="155"/>
    </row>
    <row r="245" spans="1:9">
      <c r="A245" s="142"/>
      <c r="B245" s="155"/>
      <c r="C245" s="169"/>
      <c r="D245" s="155"/>
      <c r="E245" s="155"/>
      <c r="G245" s="164"/>
      <c r="H245" s="179"/>
      <c r="I245" s="155"/>
    </row>
    <row r="246" spans="1:9">
      <c r="A246" s="142"/>
      <c r="B246" s="155"/>
      <c r="C246" s="169"/>
      <c r="D246" s="155"/>
      <c r="E246" s="155"/>
      <c r="G246" s="164"/>
      <c r="H246" s="179"/>
      <c r="I246" s="155"/>
    </row>
    <row r="247" spans="1:9">
      <c r="A247" s="142"/>
      <c r="B247" s="155"/>
      <c r="C247" s="169"/>
      <c r="D247" s="155"/>
      <c r="E247" s="155"/>
      <c r="G247" s="164"/>
      <c r="H247" s="179"/>
      <c r="I247" s="155"/>
    </row>
    <row r="248" spans="1:9">
      <c r="A248" s="142"/>
      <c r="B248" s="155"/>
      <c r="C248" s="169"/>
      <c r="D248" s="155"/>
      <c r="E248" s="155"/>
      <c r="G248" s="164"/>
      <c r="H248" s="179"/>
      <c r="I248" s="155"/>
    </row>
    <row r="249" spans="1:9">
      <c r="A249" s="142"/>
      <c r="B249" s="155"/>
      <c r="C249" s="169"/>
      <c r="D249" s="155"/>
      <c r="E249" s="155"/>
      <c r="G249" s="164"/>
      <c r="H249" s="179"/>
      <c r="I249" s="155"/>
    </row>
    <row r="250" spans="1:9">
      <c r="A250" s="142"/>
      <c r="B250" s="155"/>
      <c r="C250" s="169"/>
      <c r="D250" s="155"/>
      <c r="E250" s="155"/>
      <c r="G250" s="164"/>
      <c r="H250" s="179"/>
      <c r="I250" s="155"/>
    </row>
    <row r="251" spans="1:9">
      <c r="A251" s="142"/>
      <c r="B251" s="155"/>
      <c r="C251" s="169"/>
      <c r="D251" s="155"/>
      <c r="E251" s="155"/>
      <c r="G251" s="164"/>
      <c r="H251" s="179"/>
      <c r="I251" s="155"/>
    </row>
    <row r="252" spans="1:9">
      <c r="A252" s="142"/>
      <c r="B252" s="155"/>
      <c r="C252" s="169"/>
      <c r="D252" s="155"/>
      <c r="E252" s="155"/>
      <c r="G252" s="164"/>
      <c r="H252" s="179"/>
      <c r="I252" s="155"/>
    </row>
    <row r="253" spans="1:9">
      <c r="A253" s="142"/>
      <c r="B253" s="155"/>
      <c r="C253" s="169"/>
      <c r="D253" s="155"/>
      <c r="E253" s="155"/>
      <c r="G253" s="164"/>
      <c r="H253" s="179"/>
      <c r="I253" s="155"/>
    </row>
    <row r="254" spans="1:9">
      <c r="A254" s="142"/>
      <c r="B254" s="155"/>
      <c r="C254" s="169"/>
      <c r="D254" s="155"/>
      <c r="E254" s="155"/>
      <c r="G254" s="164"/>
      <c r="H254" s="179"/>
      <c r="I254" s="155"/>
    </row>
    <row r="255" spans="1:9">
      <c r="A255" s="142"/>
      <c r="B255" s="155"/>
      <c r="C255" s="169"/>
      <c r="D255" s="155"/>
      <c r="E255" s="155"/>
      <c r="G255" s="164"/>
      <c r="H255" s="179"/>
      <c r="I255" s="155"/>
    </row>
    <row r="256" spans="1:9">
      <c r="A256" s="142"/>
      <c r="B256" s="155"/>
      <c r="C256" s="169"/>
      <c r="D256" s="155"/>
      <c r="E256" s="155"/>
      <c r="G256" s="164"/>
      <c r="H256" s="179"/>
      <c r="I256" s="155"/>
    </row>
    <row r="257" spans="1:9">
      <c r="A257" s="142"/>
      <c r="B257" s="155"/>
      <c r="C257" s="169"/>
      <c r="D257" s="155"/>
      <c r="E257" s="155"/>
      <c r="G257" s="164"/>
      <c r="H257" s="179"/>
      <c r="I257" s="155"/>
    </row>
    <row r="258" spans="1:9">
      <c r="A258" s="142"/>
      <c r="B258" s="155"/>
      <c r="C258" s="169"/>
      <c r="D258" s="155"/>
      <c r="E258" s="155"/>
      <c r="G258" s="164"/>
      <c r="H258" s="179"/>
      <c r="I258" s="155"/>
    </row>
    <row r="259" spans="1:9">
      <c r="A259" s="142"/>
      <c r="B259" s="155"/>
      <c r="C259" s="169"/>
      <c r="D259" s="155"/>
      <c r="E259" s="155"/>
      <c r="G259" s="164"/>
      <c r="H259" s="179"/>
      <c r="I259" s="155"/>
    </row>
    <row r="260" spans="1:9">
      <c r="A260" s="142"/>
      <c r="B260" s="155"/>
      <c r="C260" s="169"/>
      <c r="D260" s="155"/>
      <c r="E260" s="155"/>
      <c r="G260" s="164"/>
      <c r="H260" s="179"/>
      <c r="I260" s="155"/>
    </row>
    <row r="261" spans="1:9">
      <c r="A261" s="142"/>
      <c r="B261" s="155"/>
      <c r="C261" s="169"/>
      <c r="D261" s="155"/>
      <c r="E261" s="155"/>
      <c r="G261" s="164"/>
      <c r="H261" s="179"/>
      <c r="I261" s="155"/>
    </row>
    <row r="262" spans="1:9">
      <c r="A262" s="142"/>
      <c r="B262" s="155"/>
      <c r="C262" s="169"/>
      <c r="D262" s="155"/>
      <c r="E262" s="155"/>
      <c r="G262" s="164"/>
      <c r="H262" s="179"/>
      <c r="I262" s="155"/>
    </row>
    <row r="263" spans="1:9">
      <c r="A263" s="142"/>
      <c r="B263" s="155"/>
      <c r="C263" s="169"/>
      <c r="D263" s="155"/>
      <c r="E263" s="155"/>
      <c r="G263" s="164"/>
      <c r="H263" s="179"/>
      <c r="I263" s="155"/>
    </row>
    <row r="264" spans="1:9">
      <c r="A264" s="142"/>
      <c r="B264" s="155"/>
      <c r="C264" s="169"/>
      <c r="D264" s="155"/>
      <c r="E264" s="155"/>
      <c r="G264" s="164"/>
      <c r="H264" s="179"/>
      <c r="I264" s="155"/>
    </row>
    <row r="265" spans="1:9">
      <c r="A265" s="142"/>
      <c r="B265" s="155"/>
      <c r="C265" s="169"/>
      <c r="D265" s="155"/>
      <c r="E265" s="155"/>
      <c r="G265" s="164"/>
      <c r="H265" s="179"/>
      <c r="I265" s="155"/>
    </row>
    <row r="266" spans="1:9">
      <c r="A266" s="142"/>
      <c r="B266" s="155"/>
      <c r="C266" s="169"/>
      <c r="D266" s="155"/>
      <c r="E266" s="155"/>
      <c r="G266" s="164"/>
      <c r="H266" s="179"/>
      <c r="I266" s="155"/>
    </row>
    <row r="267" spans="1:9">
      <c r="A267" s="142"/>
      <c r="B267" s="155"/>
      <c r="C267" s="169"/>
      <c r="D267" s="155"/>
      <c r="E267" s="155"/>
      <c r="G267" s="164"/>
      <c r="H267" s="179"/>
      <c r="I267" s="155"/>
    </row>
    <row r="268" spans="1:9">
      <c r="A268" s="142"/>
      <c r="B268" s="155"/>
      <c r="C268" s="169"/>
      <c r="D268" s="155"/>
      <c r="E268" s="155"/>
      <c r="G268" s="164"/>
      <c r="H268" s="179"/>
      <c r="I268" s="155"/>
    </row>
    <row r="269" spans="1:9">
      <c r="A269" s="142"/>
      <c r="B269" s="155"/>
      <c r="C269" s="169"/>
      <c r="D269" s="155"/>
      <c r="E269" s="155"/>
      <c r="G269" s="164"/>
      <c r="H269" s="179"/>
      <c r="I269" s="155"/>
    </row>
    <row r="270" spans="1:9">
      <c r="A270" s="142"/>
      <c r="B270" s="155"/>
      <c r="C270" s="169"/>
      <c r="D270" s="155"/>
      <c r="E270" s="155"/>
      <c r="G270" s="164"/>
      <c r="H270" s="179"/>
      <c r="I270" s="155"/>
    </row>
    <row r="271" spans="1:9">
      <c r="A271" s="142"/>
      <c r="B271" s="155"/>
      <c r="C271" s="169"/>
      <c r="D271" s="155"/>
      <c r="E271" s="155"/>
      <c r="G271" s="164"/>
      <c r="H271" s="179"/>
      <c r="I271" s="155"/>
    </row>
    <row r="272" spans="1:9">
      <c r="A272" s="142"/>
      <c r="B272" s="155"/>
      <c r="C272" s="169"/>
      <c r="D272" s="155"/>
      <c r="E272" s="155"/>
      <c r="G272" s="164"/>
      <c r="H272" s="179"/>
      <c r="I272" s="155"/>
    </row>
    <row r="273" spans="1:9">
      <c r="A273" s="142"/>
      <c r="B273" s="155"/>
      <c r="C273" s="169"/>
      <c r="D273" s="155"/>
      <c r="E273" s="155"/>
      <c r="G273" s="164"/>
      <c r="H273" s="179"/>
      <c r="I273" s="155"/>
    </row>
    <row r="274" spans="1:9">
      <c r="A274" s="142"/>
      <c r="B274" s="155"/>
      <c r="C274" s="169"/>
      <c r="D274" s="155"/>
      <c r="E274" s="155"/>
      <c r="G274" s="164"/>
      <c r="H274" s="179"/>
      <c r="I274" s="155"/>
    </row>
    <row r="275" spans="1:9">
      <c r="A275" s="142"/>
      <c r="B275" s="155"/>
      <c r="C275" s="169"/>
      <c r="D275" s="155"/>
      <c r="E275" s="155"/>
      <c r="G275" s="164"/>
      <c r="H275" s="179"/>
      <c r="I275" s="155"/>
    </row>
    <row r="276" spans="1:9">
      <c r="A276" s="142"/>
      <c r="B276" s="155"/>
      <c r="C276" s="169"/>
      <c r="D276" s="155"/>
      <c r="E276" s="155"/>
      <c r="G276" s="164"/>
      <c r="H276" s="179"/>
      <c r="I276" s="155"/>
    </row>
    <row r="277" spans="1:9">
      <c r="A277" s="142"/>
      <c r="B277" s="155"/>
      <c r="C277" s="169"/>
      <c r="D277" s="155"/>
      <c r="E277" s="155"/>
      <c r="G277" s="164"/>
      <c r="H277" s="179"/>
      <c r="I277" s="155"/>
    </row>
    <row r="278" spans="1:9">
      <c r="A278" s="142"/>
      <c r="B278" s="155"/>
      <c r="C278" s="169"/>
      <c r="D278" s="155"/>
      <c r="E278" s="155"/>
      <c r="G278" s="164"/>
      <c r="H278" s="179"/>
      <c r="I278" s="155"/>
    </row>
    <row r="279" spans="1:9">
      <c r="A279" s="142"/>
      <c r="B279" s="155"/>
      <c r="C279" s="169"/>
      <c r="D279" s="155"/>
      <c r="E279" s="155"/>
      <c r="G279" s="164"/>
      <c r="H279" s="179"/>
      <c r="I279" s="155"/>
    </row>
    <row r="280" spans="1:9">
      <c r="A280" s="142"/>
      <c r="B280" s="155"/>
      <c r="C280" s="169"/>
      <c r="D280" s="155"/>
      <c r="E280" s="155"/>
      <c r="G280" s="164"/>
      <c r="H280" s="179"/>
      <c r="I280" s="155"/>
    </row>
    <row r="281" spans="1:9">
      <c r="A281" s="142"/>
      <c r="B281" s="155"/>
      <c r="C281" s="169"/>
      <c r="D281" s="155"/>
      <c r="E281" s="155"/>
      <c r="G281" s="164"/>
      <c r="H281" s="179"/>
      <c r="I281" s="155"/>
    </row>
    <row r="282" spans="1:9">
      <c r="A282" s="142"/>
      <c r="B282" s="155"/>
      <c r="C282" s="169"/>
      <c r="D282" s="155"/>
      <c r="E282" s="155"/>
      <c r="G282" s="164"/>
      <c r="H282" s="179"/>
      <c r="I282" s="155"/>
    </row>
    <row r="283" spans="1:9">
      <c r="A283" s="142"/>
      <c r="B283" s="155"/>
      <c r="C283" s="169"/>
      <c r="D283" s="155"/>
      <c r="E283" s="155"/>
      <c r="G283" s="164"/>
      <c r="H283" s="179"/>
      <c r="I283" s="155"/>
    </row>
    <row r="284" spans="1:9">
      <c r="A284" s="142"/>
      <c r="B284" s="155"/>
      <c r="C284" s="169"/>
      <c r="D284" s="155"/>
      <c r="E284" s="155"/>
      <c r="G284" s="164"/>
      <c r="H284" s="179"/>
      <c r="I284" s="155"/>
    </row>
    <row r="285" spans="1:9">
      <c r="A285" s="142"/>
      <c r="B285" s="155"/>
      <c r="C285" s="169"/>
      <c r="D285" s="155"/>
      <c r="E285" s="155"/>
      <c r="G285" s="164"/>
      <c r="H285" s="179"/>
      <c r="I285" s="155"/>
    </row>
    <row r="286" spans="1:9">
      <c r="A286" s="142"/>
      <c r="B286" s="155"/>
      <c r="C286" s="169"/>
      <c r="D286" s="155"/>
      <c r="E286" s="155"/>
      <c r="G286" s="164"/>
      <c r="H286" s="179"/>
      <c r="I286" s="155"/>
    </row>
    <row r="287" spans="1:9">
      <c r="A287" s="142"/>
      <c r="B287" s="155"/>
      <c r="C287" s="169"/>
      <c r="D287" s="155"/>
      <c r="E287" s="155"/>
      <c r="G287" s="164"/>
      <c r="H287" s="179"/>
      <c r="I287" s="155"/>
    </row>
    <row r="288" spans="1:9">
      <c r="A288" s="142"/>
      <c r="B288" s="155"/>
      <c r="C288" s="169"/>
      <c r="D288" s="155"/>
      <c r="E288" s="155"/>
      <c r="G288" s="164"/>
      <c r="H288" s="179"/>
      <c r="I288" s="155"/>
    </row>
    <row r="289" spans="1:9">
      <c r="A289" s="142"/>
      <c r="B289" s="155"/>
      <c r="C289" s="169"/>
      <c r="D289" s="155"/>
      <c r="E289" s="155"/>
      <c r="G289" s="164"/>
      <c r="H289" s="179"/>
      <c r="I289" s="155"/>
    </row>
    <row r="290" spans="1:9">
      <c r="A290" s="142"/>
      <c r="B290" s="155"/>
      <c r="C290" s="169"/>
      <c r="D290" s="155"/>
      <c r="E290" s="155"/>
      <c r="G290" s="164"/>
      <c r="H290" s="179"/>
      <c r="I290" s="155"/>
    </row>
    <row r="291" spans="1:9">
      <c r="A291" s="142"/>
      <c r="B291" s="155"/>
      <c r="C291" s="169"/>
      <c r="D291" s="155"/>
      <c r="E291" s="155"/>
      <c r="G291" s="164"/>
      <c r="H291" s="179"/>
      <c r="I291" s="155"/>
    </row>
    <row r="292" spans="1:9">
      <c r="A292" s="142"/>
      <c r="B292" s="155"/>
      <c r="C292" s="169"/>
      <c r="D292" s="155"/>
      <c r="E292" s="155"/>
      <c r="G292" s="164"/>
      <c r="H292" s="179"/>
      <c r="I292" s="155"/>
    </row>
    <row r="293" spans="1:9">
      <c r="A293" s="142"/>
      <c r="B293" s="155"/>
      <c r="C293" s="169"/>
      <c r="D293" s="155"/>
      <c r="E293" s="155"/>
      <c r="G293" s="164"/>
      <c r="H293" s="179"/>
      <c r="I293" s="155"/>
    </row>
    <row r="294" spans="1:9">
      <c r="A294" s="142"/>
      <c r="B294" s="155"/>
      <c r="C294" s="169"/>
      <c r="D294" s="155"/>
      <c r="E294" s="155"/>
      <c r="G294" s="164"/>
      <c r="H294" s="179"/>
      <c r="I294" s="155"/>
    </row>
    <row r="295" spans="1:9">
      <c r="A295" s="142"/>
      <c r="B295" s="155"/>
      <c r="C295" s="169"/>
      <c r="D295" s="155"/>
      <c r="E295" s="155"/>
      <c r="G295" s="164"/>
      <c r="H295" s="179"/>
      <c r="I295" s="155"/>
    </row>
    <row r="296" spans="1:9">
      <c r="A296" s="142"/>
      <c r="B296" s="155"/>
      <c r="C296" s="169"/>
      <c r="D296" s="155"/>
      <c r="E296" s="155"/>
      <c r="G296" s="164"/>
      <c r="H296" s="179"/>
      <c r="I296" s="155"/>
    </row>
    <row r="297" spans="1:9">
      <c r="A297" s="142"/>
      <c r="B297" s="155"/>
      <c r="C297" s="169"/>
      <c r="D297" s="155"/>
      <c r="E297" s="155"/>
      <c r="G297" s="164"/>
      <c r="H297" s="179"/>
      <c r="I297" s="155"/>
    </row>
    <row r="298" spans="1:9">
      <c r="A298" s="142"/>
      <c r="B298" s="155"/>
      <c r="C298" s="169"/>
      <c r="D298" s="155"/>
      <c r="E298" s="155"/>
      <c r="G298" s="164"/>
      <c r="H298" s="179"/>
      <c r="I298" s="155"/>
    </row>
    <row r="299" spans="1:9">
      <c r="A299" s="142"/>
      <c r="B299" s="155"/>
      <c r="C299" s="169"/>
      <c r="D299" s="155"/>
      <c r="E299" s="155"/>
      <c r="G299" s="164"/>
      <c r="H299" s="179"/>
      <c r="I299" s="155"/>
    </row>
    <row r="300" spans="1:9">
      <c r="A300" s="142"/>
      <c r="B300" s="155"/>
      <c r="C300" s="169"/>
      <c r="D300" s="155"/>
      <c r="E300" s="155"/>
      <c r="G300" s="164"/>
      <c r="H300" s="179"/>
      <c r="I300" s="155"/>
    </row>
    <row r="301" spans="1:9">
      <c r="A301" s="142"/>
      <c r="B301" s="155"/>
      <c r="C301" s="169"/>
      <c r="D301" s="155"/>
      <c r="E301" s="155"/>
      <c r="G301" s="164"/>
      <c r="H301" s="179"/>
      <c r="I301" s="155"/>
    </row>
    <row r="302" spans="1:9">
      <c r="A302" s="142"/>
      <c r="B302" s="155"/>
      <c r="C302" s="169"/>
      <c r="D302" s="155"/>
      <c r="E302" s="155"/>
      <c r="G302" s="164"/>
      <c r="H302" s="179"/>
      <c r="I302" s="155"/>
    </row>
    <row r="303" spans="1:9">
      <c r="A303" s="142"/>
      <c r="B303" s="155"/>
      <c r="C303" s="169"/>
      <c r="D303" s="155"/>
      <c r="E303" s="155"/>
      <c r="G303" s="164"/>
      <c r="H303" s="179"/>
      <c r="I303" s="155"/>
    </row>
    <row r="304" spans="1:9">
      <c r="A304" s="142"/>
      <c r="B304" s="155"/>
      <c r="C304" s="169"/>
      <c r="D304" s="155"/>
      <c r="E304" s="155"/>
      <c r="G304" s="164"/>
      <c r="H304" s="179"/>
      <c r="I304" s="155"/>
    </row>
    <row r="305" spans="1:9">
      <c r="A305" s="142"/>
      <c r="B305" s="155"/>
      <c r="C305" s="169"/>
      <c r="D305" s="155"/>
      <c r="E305" s="155"/>
      <c r="G305" s="164"/>
      <c r="H305" s="179"/>
      <c r="I305" s="155"/>
    </row>
    <row r="306" spans="1:9">
      <c r="A306" s="142"/>
      <c r="B306" s="155"/>
      <c r="C306" s="169"/>
      <c r="D306" s="155"/>
      <c r="E306" s="155"/>
      <c r="G306" s="164"/>
      <c r="H306" s="179"/>
      <c r="I306" s="155"/>
    </row>
    <row r="307" spans="1:9">
      <c r="A307" s="142"/>
      <c r="B307" s="155"/>
      <c r="C307" s="169"/>
      <c r="D307" s="155"/>
      <c r="E307" s="155"/>
      <c r="G307" s="164"/>
      <c r="H307" s="179"/>
      <c r="I307" s="155"/>
    </row>
    <row r="308" spans="1:9">
      <c r="A308" s="142"/>
      <c r="B308" s="155"/>
      <c r="C308" s="169"/>
      <c r="D308" s="155"/>
      <c r="E308" s="155"/>
      <c r="G308" s="164"/>
      <c r="H308" s="179"/>
      <c r="I308" s="155"/>
    </row>
    <row r="309" spans="1:9">
      <c r="A309" s="142"/>
      <c r="B309" s="155"/>
      <c r="C309" s="169"/>
      <c r="D309" s="155"/>
      <c r="E309" s="155"/>
      <c r="G309" s="164"/>
      <c r="H309" s="179"/>
      <c r="I309" s="155"/>
    </row>
    <row r="310" spans="1:9">
      <c r="A310" s="142"/>
      <c r="B310" s="155"/>
      <c r="C310" s="169"/>
      <c r="D310" s="155"/>
      <c r="E310" s="155"/>
      <c r="G310" s="164"/>
      <c r="H310" s="179"/>
      <c r="I310" s="155"/>
    </row>
    <row r="311" spans="1:9">
      <c r="A311" s="142"/>
      <c r="B311" s="155"/>
      <c r="C311" s="169"/>
      <c r="D311" s="155"/>
      <c r="E311" s="155"/>
      <c r="G311" s="164"/>
      <c r="H311" s="179"/>
      <c r="I311" s="155"/>
    </row>
    <row r="312" spans="1:9">
      <c r="A312" s="142"/>
      <c r="B312" s="155"/>
      <c r="C312" s="169"/>
      <c r="D312" s="155"/>
      <c r="E312" s="155"/>
      <c r="G312" s="164"/>
      <c r="H312" s="179"/>
      <c r="I312" s="155"/>
    </row>
    <row r="313" spans="1:9">
      <c r="A313" s="142"/>
      <c r="B313" s="155"/>
      <c r="C313" s="169"/>
      <c r="D313" s="155"/>
      <c r="E313" s="155"/>
      <c r="G313" s="164"/>
      <c r="H313" s="179"/>
      <c r="I313" s="155"/>
    </row>
    <row r="314" spans="1:9">
      <c r="A314" s="142"/>
      <c r="B314" s="155"/>
      <c r="C314" s="169"/>
      <c r="D314" s="155"/>
      <c r="E314" s="155"/>
      <c r="G314" s="164"/>
      <c r="H314" s="179"/>
      <c r="I314" s="155"/>
    </row>
    <row r="315" spans="1:9">
      <c r="A315" s="142"/>
      <c r="B315" s="155"/>
      <c r="C315" s="169"/>
      <c r="D315" s="155"/>
      <c r="E315" s="155"/>
      <c r="G315" s="164"/>
      <c r="H315" s="179"/>
      <c r="I315" s="155"/>
    </row>
    <row r="316" spans="1:9">
      <c r="A316" s="142"/>
      <c r="B316" s="155"/>
      <c r="C316" s="169"/>
      <c r="D316" s="155"/>
      <c r="E316" s="155"/>
      <c r="G316" s="164"/>
      <c r="H316" s="179"/>
      <c r="I316" s="155"/>
    </row>
    <row r="317" spans="1:9">
      <c r="A317" s="142"/>
      <c r="B317" s="155"/>
      <c r="C317" s="169"/>
      <c r="D317" s="155"/>
      <c r="E317" s="155"/>
      <c r="G317" s="164"/>
      <c r="H317" s="179"/>
      <c r="I317" s="155"/>
    </row>
    <row r="318" spans="1:9">
      <c r="A318" s="142"/>
      <c r="B318" s="155"/>
      <c r="C318" s="169"/>
      <c r="D318" s="155"/>
      <c r="E318" s="155"/>
      <c r="G318" s="164"/>
      <c r="H318" s="179"/>
      <c r="I318" s="155"/>
    </row>
    <row r="319" spans="1:9">
      <c r="A319" s="142"/>
      <c r="B319" s="155"/>
      <c r="C319" s="169"/>
      <c r="D319" s="155"/>
      <c r="E319" s="155"/>
      <c r="G319" s="164"/>
      <c r="H319" s="179"/>
      <c r="I319" s="155"/>
    </row>
    <row r="320" spans="1:9">
      <c r="A320" s="142"/>
      <c r="B320" s="155"/>
      <c r="C320" s="169"/>
      <c r="D320" s="155"/>
      <c r="E320" s="155"/>
      <c r="G320" s="164"/>
      <c r="H320" s="179"/>
      <c r="I320" s="155"/>
    </row>
    <row r="321" spans="1:9">
      <c r="A321" s="142"/>
      <c r="B321" s="155"/>
      <c r="C321" s="169"/>
      <c r="D321" s="155"/>
      <c r="E321" s="155"/>
      <c r="G321" s="164"/>
      <c r="H321" s="179"/>
      <c r="I321" s="155"/>
    </row>
    <row r="322" spans="1:9">
      <c r="A322" s="142"/>
      <c r="B322" s="155"/>
      <c r="C322" s="169"/>
      <c r="D322" s="155"/>
      <c r="E322" s="155"/>
      <c r="G322" s="164"/>
      <c r="H322" s="179"/>
      <c r="I322" s="155"/>
    </row>
    <row r="323" spans="1:9">
      <c r="A323" s="142"/>
      <c r="B323" s="155"/>
      <c r="C323" s="169"/>
      <c r="D323" s="155"/>
      <c r="E323" s="155"/>
      <c r="G323" s="164"/>
      <c r="H323" s="179"/>
      <c r="I323" s="155"/>
    </row>
    <row r="324" spans="1:9">
      <c r="A324" s="142"/>
      <c r="B324" s="155"/>
      <c r="C324" s="169"/>
      <c r="D324" s="155"/>
      <c r="E324" s="155"/>
      <c r="G324" s="164"/>
      <c r="H324" s="179"/>
      <c r="I324" s="155"/>
    </row>
    <row r="325" spans="1:9">
      <c r="A325" s="142"/>
      <c r="B325" s="155"/>
      <c r="C325" s="169"/>
      <c r="D325" s="155"/>
      <c r="E325" s="155"/>
      <c r="G325" s="164"/>
      <c r="H325" s="179"/>
      <c r="I325" s="155"/>
    </row>
    <row r="326" spans="1:9">
      <c r="A326" s="142"/>
      <c r="B326" s="155"/>
      <c r="C326" s="169"/>
      <c r="D326" s="155"/>
      <c r="E326" s="155"/>
      <c r="G326" s="164"/>
      <c r="H326" s="179"/>
      <c r="I326" s="155"/>
    </row>
    <row r="327" spans="1:9">
      <c r="A327" s="142"/>
      <c r="B327" s="155"/>
      <c r="C327" s="169"/>
      <c r="D327" s="155"/>
      <c r="E327" s="155"/>
      <c r="G327" s="164"/>
      <c r="H327" s="179"/>
      <c r="I327" s="155"/>
    </row>
    <row r="328" spans="1:9">
      <c r="A328" s="142"/>
      <c r="B328" s="155"/>
      <c r="C328" s="169"/>
      <c r="D328" s="155"/>
      <c r="E328" s="155"/>
      <c r="G328" s="164"/>
      <c r="H328" s="179"/>
      <c r="I328" s="155"/>
    </row>
    <row r="329" spans="1:9">
      <c r="A329" s="142"/>
      <c r="B329" s="155"/>
      <c r="C329" s="169"/>
      <c r="D329" s="155"/>
      <c r="E329" s="155"/>
      <c r="G329" s="164"/>
      <c r="H329" s="179"/>
      <c r="I329" s="155"/>
    </row>
    <row r="330" spans="1:9">
      <c r="A330" s="142"/>
      <c r="B330" s="155"/>
      <c r="C330" s="169"/>
      <c r="D330" s="155"/>
      <c r="E330" s="155"/>
      <c r="G330" s="164"/>
      <c r="H330" s="179"/>
      <c r="I330" s="155"/>
    </row>
    <row r="331" spans="1:9">
      <c r="A331" s="142"/>
      <c r="B331" s="155"/>
      <c r="C331" s="169"/>
      <c r="D331" s="155"/>
      <c r="E331" s="155"/>
      <c r="G331" s="164"/>
      <c r="H331" s="179"/>
      <c r="I331" s="155"/>
    </row>
    <row r="332" spans="1:9">
      <c r="A332" s="142"/>
      <c r="B332" s="155"/>
      <c r="C332" s="169"/>
      <c r="D332" s="155"/>
      <c r="E332" s="155"/>
      <c r="G332" s="164"/>
      <c r="H332" s="179"/>
      <c r="I332" s="155"/>
    </row>
    <row r="333" spans="1:9">
      <c r="A333" s="142"/>
      <c r="B333" s="155"/>
      <c r="C333" s="169"/>
      <c r="D333" s="155"/>
      <c r="E333" s="155"/>
      <c r="G333" s="164"/>
      <c r="H333" s="179"/>
      <c r="I333" s="155"/>
    </row>
    <row r="334" spans="1:9">
      <c r="A334" s="142"/>
      <c r="B334" s="155"/>
      <c r="C334" s="169"/>
      <c r="D334" s="155"/>
      <c r="E334" s="155"/>
      <c r="G334" s="164"/>
      <c r="H334" s="179"/>
      <c r="I334" s="155"/>
    </row>
    <row r="335" spans="1:9">
      <c r="A335" s="142"/>
      <c r="B335" s="155"/>
      <c r="C335" s="169"/>
      <c r="D335" s="155"/>
      <c r="E335" s="155"/>
      <c r="G335" s="164"/>
      <c r="H335" s="179"/>
      <c r="I335" s="155"/>
    </row>
    <row r="336" spans="1:9">
      <c r="A336" s="142"/>
      <c r="B336" s="155"/>
      <c r="C336" s="169"/>
      <c r="D336" s="155"/>
      <c r="E336" s="155"/>
      <c r="G336" s="164"/>
      <c r="H336" s="179"/>
      <c r="I336" s="155"/>
    </row>
    <row r="337" spans="1:9">
      <c r="A337" s="142"/>
      <c r="B337" s="155"/>
      <c r="C337" s="169"/>
      <c r="D337" s="155"/>
      <c r="E337" s="155"/>
      <c r="G337" s="164"/>
      <c r="H337" s="179"/>
      <c r="I337" s="155"/>
    </row>
    <row r="338" spans="1:9">
      <c r="A338" s="142"/>
      <c r="B338" s="155"/>
      <c r="C338" s="169"/>
      <c r="D338" s="155"/>
      <c r="E338" s="155"/>
      <c r="G338" s="164"/>
      <c r="H338" s="179"/>
      <c r="I338" s="155"/>
    </row>
    <row r="339" spans="1:9">
      <c r="A339" s="142"/>
      <c r="B339" s="155"/>
      <c r="C339" s="169"/>
      <c r="D339" s="155"/>
      <c r="E339" s="155"/>
      <c r="G339" s="164"/>
      <c r="H339" s="179"/>
      <c r="I339" s="155"/>
    </row>
    <row r="340" spans="1:9">
      <c r="A340" s="142"/>
      <c r="B340" s="155"/>
      <c r="C340" s="169"/>
      <c r="D340" s="155"/>
      <c r="E340" s="155"/>
      <c r="G340" s="164"/>
      <c r="H340" s="179"/>
      <c r="I340" s="155"/>
    </row>
    <row r="341" spans="1:9">
      <c r="A341" s="142"/>
      <c r="B341" s="155"/>
      <c r="C341" s="169"/>
      <c r="D341" s="155"/>
      <c r="E341" s="155"/>
      <c r="G341" s="164"/>
      <c r="H341" s="179"/>
      <c r="I341" s="155"/>
    </row>
    <row r="342" spans="1:9">
      <c r="A342" s="142"/>
      <c r="B342" s="155"/>
      <c r="C342" s="169"/>
      <c r="D342" s="155"/>
      <c r="E342" s="155"/>
      <c r="G342" s="164"/>
      <c r="H342" s="179"/>
      <c r="I342" s="155"/>
    </row>
    <row r="343" spans="1:9">
      <c r="A343" s="142"/>
      <c r="B343" s="155"/>
      <c r="C343" s="169"/>
      <c r="D343" s="155"/>
      <c r="E343" s="155"/>
      <c r="G343" s="164"/>
      <c r="H343" s="179"/>
      <c r="I343" s="155"/>
    </row>
    <row r="344" spans="1:9">
      <c r="A344" s="142"/>
      <c r="B344" s="155"/>
      <c r="C344" s="169"/>
      <c r="D344" s="155"/>
      <c r="E344" s="155"/>
      <c r="G344" s="164"/>
      <c r="H344" s="179"/>
      <c r="I344" s="155"/>
    </row>
    <row r="345" spans="1:9">
      <c r="A345" s="142"/>
      <c r="B345" s="155"/>
      <c r="C345" s="169"/>
      <c r="D345" s="155"/>
      <c r="E345" s="155"/>
      <c r="G345" s="164"/>
      <c r="H345" s="179"/>
      <c r="I345" s="155"/>
    </row>
    <row r="346" spans="1:9">
      <c r="A346" s="142"/>
      <c r="B346" s="155"/>
      <c r="C346" s="169"/>
      <c r="D346" s="155"/>
      <c r="E346" s="155"/>
      <c r="G346" s="164"/>
      <c r="H346" s="179"/>
      <c r="I346" s="155"/>
    </row>
    <row r="347" spans="1:9">
      <c r="A347" s="142"/>
      <c r="B347" s="155"/>
      <c r="C347" s="169"/>
      <c r="D347" s="155"/>
      <c r="E347" s="155"/>
      <c r="G347" s="164"/>
      <c r="H347" s="179"/>
      <c r="I347" s="155"/>
    </row>
    <row r="348" spans="1:9">
      <c r="A348" s="142"/>
      <c r="B348" s="155"/>
      <c r="C348" s="169"/>
      <c r="D348" s="155"/>
      <c r="E348" s="155"/>
      <c r="G348" s="164"/>
      <c r="H348" s="179"/>
      <c r="I348" s="155"/>
    </row>
    <row r="349" spans="1:9">
      <c r="A349" s="142"/>
      <c r="B349" s="155"/>
      <c r="C349" s="169"/>
      <c r="D349" s="155"/>
      <c r="E349" s="155"/>
      <c r="G349" s="164"/>
      <c r="H349" s="179"/>
      <c r="I349" s="155"/>
    </row>
    <row r="350" spans="1:9">
      <c r="A350" s="142"/>
      <c r="B350" s="155"/>
      <c r="C350" s="169"/>
      <c r="D350" s="155"/>
      <c r="E350" s="155"/>
      <c r="G350" s="164"/>
      <c r="H350" s="179"/>
      <c r="I350" s="155"/>
    </row>
    <row r="351" spans="1:9">
      <c r="A351" s="142"/>
      <c r="B351" s="155"/>
      <c r="C351" s="169"/>
      <c r="D351" s="155"/>
      <c r="E351" s="155"/>
      <c r="G351" s="164"/>
      <c r="H351" s="179"/>
      <c r="I351" s="155"/>
    </row>
    <row r="352" spans="1:9">
      <c r="A352" s="142"/>
      <c r="B352" s="155"/>
      <c r="C352" s="169"/>
      <c r="D352" s="155"/>
      <c r="E352" s="155"/>
      <c r="G352" s="164"/>
      <c r="H352" s="179"/>
      <c r="I352" s="155"/>
    </row>
    <row r="353" spans="1:9">
      <c r="A353" s="142"/>
      <c r="B353" s="155"/>
      <c r="C353" s="169"/>
      <c r="D353" s="155"/>
      <c r="E353" s="155"/>
      <c r="G353" s="164"/>
      <c r="H353" s="179"/>
      <c r="I353" s="155"/>
    </row>
    <row r="354" spans="1:9">
      <c r="A354" s="142"/>
      <c r="B354" s="155"/>
      <c r="C354" s="169"/>
      <c r="D354" s="155"/>
      <c r="E354" s="155"/>
      <c r="G354" s="164"/>
      <c r="H354" s="179"/>
      <c r="I354" s="155"/>
    </row>
    <row r="355" spans="1:9">
      <c r="A355" s="142"/>
      <c r="B355" s="155"/>
      <c r="C355" s="169"/>
      <c r="D355" s="155"/>
      <c r="E355" s="155"/>
      <c r="G355" s="164"/>
      <c r="H355" s="179"/>
      <c r="I355" s="155"/>
    </row>
    <row r="356" spans="1:9">
      <c r="A356" s="142"/>
      <c r="B356" s="155"/>
      <c r="C356" s="169"/>
      <c r="D356" s="155"/>
      <c r="E356" s="155"/>
      <c r="G356" s="164"/>
      <c r="H356" s="179"/>
      <c r="I356" s="155"/>
    </row>
    <row r="357" spans="1:9">
      <c r="A357" s="142"/>
      <c r="B357" s="155"/>
      <c r="C357" s="169"/>
      <c r="D357" s="155"/>
      <c r="E357" s="155"/>
      <c r="G357" s="164"/>
      <c r="H357" s="179"/>
      <c r="I357" s="155"/>
    </row>
    <row r="358" spans="1:9">
      <c r="A358" s="142"/>
      <c r="B358" s="155"/>
      <c r="C358" s="169"/>
      <c r="D358" s="155"/>
      <c r="E358" s="155"/>
      <c r="G358" s="164"/>
      <c r="H358" s="179"/>
      <c r="I358" s="155"/>
    </row>
    <row r="359" spans="1:9">
      <c r="A359" s="142"/>
      <c r="B359" s="155"/>
      <c r="C359" s="169"/>
      <c r="D359" s="155"/>
      <c r="E359" s="155"/>
      <c r="G359" s="164"/>
      <c r="H359" s="179"/>
      <c r="I359" s="155"/>
    </row>
    <row r="360" spans="1:9">
      <c r="A360" s="142"/>
      <c r="B360" s="155"/>
      <c r="C360" s="169"/>
      <c r="D360" s="155"/>
      <c r="E360" s="155"/>
      <c r="G360" s="164"/>
      <c r="H360" s="179"/>
      <c r="I360" s="155"/>
    </row>
    <row r="361" spans="1:9">
      <c r="A361" s="142"/>
      <c r="B361" s="155"/>
      <c r="C361" s="169"/>
      <c r="D361" s="155"/>
      <c r="E361" s="155"/>
      <c r="G361" s="164"/>
      <c r="H361" s="179"/>
      <c r="I361" s="155"/>
    </row>
    <row r="362" spans="1:9">
      <c r="A362" s="142"/>
      <c r="B362" s="155"/>
      <c r="C362" s="169"/>
      <c r="D362" s="155"/>
      <c r="E362" s="155"/>
      <c r="G362" s="164"/>
      <c r="H362" s="179"/>
      <c r="I362" s="155"/>
    </row>
    <row r="363" spans="1:9">
      <c r="A363" s="142"/>
      <c r="B363" s="155"/>
      <c r="C363" s="169"/>
      <c r="D363" s="155"/>
      <c r="E363" s="155"/>
      <c r="G363" s="164"/>
      <c r="H363" s="179"/>
      <c r="I363" s="155"/>
    </row>
    <row r="364" spans="1:9">
      <c r="A364" s="142"/>
      <c r="B364" s="155"/>
      <c r="C364" s="169"/>
      <c r="D364" s="155"/>
      <c r="E364" s="155"/>
      <c r="G364" s="164"/>
      <c r="H364" s="179"/>
      <c r="I364" s="155"/>
    </row>
    <row r="365" spans="1:9">
      <c r="A365" s="142"/>
      <c r="B365" s="155"/>
      <c r="C365" s="169"/>
      <c r="D365" s="155"/>
      <c r="E365" s="155"/>
      <c r="G365" s="164"/>
      <c r="H365" s="179"/>
      <c r="I365" s="155"/>
    </row>
    <row r="366" spans="1:9">
      <c r="A366" s="142"/>
      <c r="B366" s="155"/>
      <c r="C366" s="169"/>
      <c r="D366" s="155"/>
      <c r="E366" s="155"/>
      <c r="G366" s="164"/>
      <c r="H366" s="179"/>
      <c r="I366" s="155"/>
    </row>
    <row r="367" spans="1:9">
      <c r="A367" s="142"/>
      <c r="B367" s="155"/>
      <c r="C367" s="169"/>
      <c r="D367" s="155"/>
      <c r="E367" s="155"/>
      <c r="G367" s="164"/>
      <c r="H367" s="179"/>
      <c r="I367" s="155"/>
    </row>
    <row r="368" spans="1:9">
      <c r="A368" s="142"/>
      <c r="B368" s="155"/>
      <c r="C368" s="169"/>
      <c r="D368" s="155"/>
      <c r="E368" s="155"/>
      <c r="G368" s="164"/>
      <c r="H368" s="179"/>
      <c r="I368" s="155"/>
    </row>
    <row r="369" spans="1:9">
      <c r="A369" s="142"/>
      <c r="B369" s="155"/>
      <c r="C369" s="169"/>
      <c r="D369" s="155"/>
      <c r="E369" s="155"/>
      <c r="G369" s="164"/>
      <c r="H369" s="179"/>
      <c r="I369" s="155"/>
    </row>
    <row r="370" spans="1:9">
      <c r="A370" s="142"/>
      <c r="B370" s="155"/>
      <c r="C370" s="169"/>
      <c r="D370" s="155"/>
      <c r="E370" s="155"/>
      <c r="G370" s="164"/>
      <c r="H370" s="179"/>
      <c r="I370" s="155"/>
    </row>
    <row r="371" spans="1:9">
      <c r="A371" s="142"/>
      <c r="B371" s="155"/>
      <c r="C371" s="169"/>
      <c r="D371" s="155"/>
      <c r="E371" s="155"/>
      <c r="G371" s="164"/>
      <c r="H371" s="179"/>
      <c r="I371" s="155"/>
    </row>
    <row r="372" spans="1:9">
      <c r="A372" s="142"/>
      <c r="B372" s="155"/>
      <c r="C372" s="169"/>
      <c r="D372" s="155"/>
      <c r="E372" s="155"/>
      <c r="G372" s="164"/>
      <c r="H372" s="179"/>
      <c r="I372" s="155"/>
    </row>
    <row r="373" spans="1:9">
      <c r="A373" s="142"/>
      <c r="B373" s="155"/>
      <c r="C373" s="169"/>
      <c r="D373" s="155"/>
      <c r="E373" s="155"/>
      <c r="G373" s="164"/>
      <c r="H373" s="179"/>
      <c r="I373" s="155"/>
    </row>
    <row r="374" spans="1:9">
      <c r="A374" s="142"/>
      <c r="B374" s="155"/>
      <c r="C374" s="169"/>
      <c r="D374" s="155"/>
      <c r="E374" s="155"/>
      <c r="G374" s="164"/>
      <c r="H374" s="179"/>
      <c r="I374" s="155"/>
    </row>
    <row r="375" spans="1:9">
      <c r="A375" s="142"/>
      <c r="B375" s="155"/>
      <c r="C375" s="169"/>
      <c r="D375" s="155"/>
      <c r="E375" s="155"/>
      <c r="G375" s="164"/>
      <c r="H375" s="179"/>
      <c r="I375" s="155"/>
    </row>
    <row r="376" spans="1:9">
      <c r="A376" s="142"/>
      <c r="B376" s="155"/>
      <c r="C376" s="169"/>
      <c r="D376" s="155"/>
      <c r="E376" s="155"/>
      <c r="G376" s="164"/>
      <c r="H376" s="179"/>
      <c r="I376" s="155"/>
    </row>
    <row r="377" spans="1:9">
      <c r="A377" s="142"/>
      <c r="B377" s="155"/>
      <c r="C377" s="169"/>
      <c r="D377" s="155"/>
      <c r="E377" s="155"/>
      <c r="G377" s="164"/>
      <c r="H377" s="179"/>
      <c r="I377" s="155"/>
    </row>
    <row r="378" spans="1:9">
      <c r="A378" s="142"/>
      <c r="B378" s="155"/>
      <c r="C378" s="169"/>
      <c r="D378" s="155"/>
      <c r="E378" s="155"/>
      <c r="G378" s="164"/>
      <c r="H378" s="179"/>
      <c r="I378" s="155"/>
    </row>
    <row r="379" spans="1:9">
      <c r="A379" s="142"/>
      <c r="B379" s="155"/>
      <c r="C379" s="169"/>
      <c r="D379" s="155"/>
      <c r="E379" s="155"/>
      <c r="G379" s="164"/>
      <c r="H379" s="179"/>
      <c r="I379" s="155"/>
    </row>
    <row r="380" spans="1:9">
      <c r="A380" s="142"/>
      <c r="B380" s="155"/>
      <c r="C380" s="169"/>
      <c r="D380" s="155"/>
      <c r="E380" s="155"/>
      <c r="G380" s="164"/>
      <c r="H380" s="179"/>
      <c r="I380" s="155"/>
    </row>
    <row r="381" spans="1:9">
      <c r="A381" s="142"/>
      <c r="B381" s="155"/>
      <c r="C381" s="169"/>
      <c r="D381" s="155"/>
      <c r="E381" s="155"/>
      <c r="G381" s="164"/>
      <c r="H381" s="179"/>
      <c r="I381" s="155"/>
    </row>
    <row r="382" spans="1:9">
      <c r="A382" s="142"/>
      <c r="B382" s="155"/>
      <c r="C382" s="169"/>
      <c r="D382" s="155"/>
      <c r="E382" s="155"/>
      <c r="G382" s="164"/>
      <c r="H382" s="179"/>
      <c r="I382" s="155"/>
    </row>
    <row r="383" spans="1:9">
      <c r="A383" s="142"/>
      <c r="B383" s="155"/>
      <c r="C383" s="169"/>
      <c r="D383" s="155"/>
      <c r="E383" s="155"/>
      <c r="G383" s="164"/>
      <c r="H383" s="179"/>
      <c r="I383" s="155"/>
    </row>
    <row r="384" spans="1:9">
      <c r="A384" s="142"/>
      <c r="B384" s="155"/>
      <c r="C384" s="169"/>
      <c r="D384" s="155"/>
      <c r="E384" s="155"/>
      <c r="G384" s="164"/>
      <c r="H384" s="179"/>
      <c r="I384" s="155"/>
    </row>
    <row r="385" spans="1:9">
      <c r="A385" s="142"/>
      <c r="B385" s="155"/>
      <c r="C385" s="169"/>
      <c r="D385" s="155"/>
      <c r="E385" s="155"/>
      <c r="G385" s="164"/>
      <c r="H385" s="179"/>
      <c r="I385" s="155"/>
    </row>
    <row r="386" spans="1:9">
      <c r="A386" s="142"/>
      <c r="B386" s="155"/>
      <c r="C386" s="169"/>
      <c r="D386" s="155"/>
      <c r="E386" s="155"/>
      <c r="G386" s="164"/>
      <c r="H386" s="179"/>
      <c r="I386" s="155"/>
    </row>
    <row r="387" spans="1:9">
      <c r="A387" s="142"/>
      <c r="B387" s="155"/>
      <c r="C387" s="169"/>
      <c r="D387" s="155"/>
      <c r="E387" s="155"/>
      <c r="G387" s="164"/>
      <c r="H387" s="179"/>
      <c r="I387" s="155"/>
    </row>
    <row r="388" spans="1:9">
      <c r="A388" s="142"/>
      <c r="B388" s="155"/>
      <c r="C388" s="169"/>
      <c r="D388" s="155"/>
      <c r="E388" s="155"/>
      <c r="G388" s="164"/>
      <c r="H388" s="179"/>
      <c r="I388" s="155"/>
    </row>
    <row r="389" spans="1:9">
      <c r="A389" s="142"/>
      <c r="B389" s="155"/>
      <c r="C389" s="169"/>
      <c r="D389" s="155"/>
      <c r="E389" s="155"/>
      <c r="G389" s="164"/>
      <c r="H389" s="179"/>
      <c r="I389" s="155"/>
    </row>
    <row r="390" spans="1:9">
      <c r="A390" s="142"/>
      <c r="B390" s="155"/>
      <c r="C390" s="169"/>
      <c r="D390" s="155"/>
      <c r="E390" s="155"/>
      <c r="G390" s="164"/>
      <c r="H390" s="179"/>
      <c r="I390" s="155"/>
    </row>
    <row r="391" spans="1:9">
      <c r="A391" s="142"/>
      <c r="B391" s="155"/>
      <c r="C391" s="169"/>
      <c r="D391" s="155"/>
      <c r="E391" s="155"/>
      <c r="G391" s="164"/>
      <c r="H391" s="179"/>
      <c r="I391" s="155"/>
    </row>
    <row r="392" spans="1:9">
      <c r="A392" s="142"/>
      <c r="B392" s="155"/>
      <c r="C392" s="169"/>
      <c r="D392" s="155"/>
      <c r="E392" s="155"/>
      <c r="G392" s="164"/>
      <c r="H392" s="179"/>
      <c r="I392" s="155"/>
    </row>
    <row r="393" spans="1:9">
      <c r="A393" s="142"/>
      <c r="B393" s="155"/>
      <c r="C393" s="169"/>
      <c r="D393" s="155"/>
      <c r="E393" s="155"/>
      <c r="G393" s="164"/>
      <c r="H393" s="179"/>
      <c r="I393" s="155"/>
    </row>
    <row r="394" spans="1:9">
      <c r="A394" s="142"/>
      <c r="B394" s="155"/>
      <c r="C394" s="169"/>
      <c r="D394" s="155"/>
      <c r="E394" s="155"/>
      <c r="G394" s="164"/>
      <c r="H394" s="179"/>
      <c r="I394" s="155"/>
    </row>
    <row r="395" spans="1:9">
      <c r="A395" s="142"/>
      <c r="B395" s="155"/>
      <c r="C395" s="169"/>
      <c r="D395" s="155"/>
      <c r="E395" s="155"/>
      <c r="G395" s="164"/>
      <c r="H395" s="179"/>
      <c r="I395" s="155"/>
    </row>
    <row r="396" spans="1:9">
      <c r="A396" s="142"/>
      <c r="B396" s="155"/>
      <c r="C396" s="169"/>
      <c r="D396" s="155"/>
      <c r="E396" s="155"/>
      <c r="G396" s="164"/>
      <c r="H396" s="179"/>
      <c r="I396" s="155"/>
    </row>
    <row r="397" spans="1:9">
      <c r="A397" s="142"/>
      <c r="B397" s="155"/>
      <c r="C397" s="169"/>
      <c r="D397" s="155"/>
      <c r="E397" s="155"/>
      <c r="G397" s="164"/>
      <c r="H397" s="179"/>
      <c r="I397" s="155"/>
    </row>
    <row r="398" spans="1:9">
      <c r="A398" s="142"/>
      <c r="B398" s="155"/>
      <c r="C398" s="169"/>
      <c r="D398" s="155"/>
      <c r="E398" s="155"/>
      <c r="G398" s="164"/>
      <c r="H398" s="179"/>
      <c r="I398" s="155"/>
    </row>
    <row r="399" spans="1:9">
      <c r="A399" s="142"/>
      <c r="B399" s="155"/>
      <c r="C399" s="169"/>
      <c r="D399" s="155"/>
      <c r="E399" s="155"/>
      <c r="G399" s="164"/>
      <c r="H399" s="179"/>
      <c r="I399" s="155"/>
    </row>
    <row r="400" spans="1:9">
      <c r="A400" s="142"/>
      <c r="B400" s="155"/>
      <c r="C400" s="169"/>
      <c r="D400" s="155"/>
      <c r="E400" s="155"/>
      <c r="G400" s="164"/>
      <c r="H400" s="179"/>
      <c r="I400" s="155"/>
    </row>
    <row r="401" spans="1:9">
      <c r="A401" s="142"/>
      <c r="B401" s="155"/>
      <c r="C401" s="169"/>
      <c r="D401" s="155"/>
      <c r="E401" s="155"/>
      <c r="G401" s="164"/>
      <c r="H401" s="179"/>
      <c r="I401" s="155"/>
    </row>
    <row r="402" spans="1:9">
      <c r="A402" s="142"/>
      <c r="B402" s="155"/>
      <c r="C402" s="169"/>
      <c r="D402" s="155"/>
      <c r="E402" s="155"/>
      <c r="G402" s="164"/>
      <c r="H402" s="179"/>
      <c r="I402" s="155"/>
    </row>
    <row r="403" spans="1:9">
      <c r="A403" s="142"/>
      <c r="B403" s="155"/>
      <c r="C403" s="169"/>
      <c r="D403" s="155"/>
      <c r="E403" s="155"/>
      <c r="G403" s="164"/>
      <c r="H403" s="179"/>
      <c r="I403" s="155"/>
    </row>
    <row r="404" spans="1:9">
      <c r="A404" s="142"/>
      <c r="B404" s="155"/>
      <c r="C404" s="169"/>
      <c r="D404" s="155"/>
      <c r="E404" s="155"/>
      <c r="G404" s="164"/>
      <c r="H404" s="179"/>
      <c r="I404" s="155"/>
    </row>
    <row r="405" spans="1:9">
      <c r="A405" s="142"/>
      <c r="B405" s="155"/>
      <c r="C405" s="169"/>
      <c r="D405" s="155"/>
      <c r="E405" s="155"/>
      <c r="G405" s="164"/>
      <c r="H405" s="179"/>
      <c r="I405" s="155"/>
    </row>
    <row r="406" spans="1:9">
      <c r="A406" s="142"/>
      <c r="B406" s="155"/>
      <c r="C406" s="169"/>
      <c r="D406" s="155"/>
      <c r="E406" s="155"/>
      <c r="G406" s="164"/>
      <c r="H406" s="179"/>
      <c r="I406" s="155"/>
    </row>
    <row r="407" spans="1:9">
      <c r="A407" s="142"/>
      <c r="B407" s="155"/>
      <c r="C407" s="169"/>
      <c r="D407" s="155"/>
      <c r="E407" s="155"/>
      <c r="G407" s="164"/>
      <c r="H407" s="179"/>
      <c r="I407" s="155"/>
    </row>
    <row r="408" spans="1:9">
      <c r="A408" s="142"/>
      <c r="B408" s="155"/>
      <c r="C408" s="169"/>
      <c r="D408" s="155"/>
      <c r="E408" s="155"/>
      <c r="G408" s="164"/>
      <c r="H408" s="179"/>
      <c r="I408" s="155"/>
    </row>
    <row r="409" spans="1:9">
      <c r="A409" s="142"/>
      <c r="B409" s="155"/>
      <c r="C409" s="169"/>
      <c r="D409" s="155"/>
      <c r="E409" s="155"/>
      <c r="G409" s="164"/>
      <c r="H409" s="179"/>
      <c r="I409" s="155"/>
    </row>
    <row r="410" spans="1:9">
      <c r="A410" s="142"/>
      <c r="B410" s="155"/>
      <c r="C410" s="169"/>
      <c r="D410" s="155"/>
      <c r="E410" s="155"/>
      <c r="G410" s="164"/>
      <c r="H410" s="179"/>
      <c r="I410" s="155"/>
    </row>
    <row r="411" spans="1:9">
      <c r="A411" s="142"/>
      <c r="B411" s="155"/>
      <c r="C411" s="169"/>
      <c r="D411" s="155"/>
      <c r="E411" s="155"/>
      <c r="G411" s="164"/>
      <c r="H411" s="179"/>
      <c r="I411" s="155"/>
    </row>
    <row r="412" spans="1:9">
      <c r="A412" s="142"/>
      <c r="B412" s="155"/>
      <c r="C412" s="169"/>
      <c r="D412" s="155"/>
      <c r="E412" s="155"/>
      <c r="G412" s="164"/>
      <c r="H412" s="179"/>
      <c r="I412" s="155"/>
    </row>
    <row r="413" spans="1:9">
      <c r="A413" s="142"/>
      <c r="B413" s="155"/>
      <c r="C413" s="169"/>
      <c r="D413" s="155"/>
      <c r="E413" s="155"/>
      <c r="G413" s="164"/>
      <c r="H413" s="179"/>
      <c r="I413" s="155"/>
    </row>
    <row r="414" spans="1:9">
      <c r="A414" s="142"/>
      <c r="B414" s="155"/>
      <c r="C414" s="169"/>
      <c r="D414" s="155"/>
      <c r="E414" s="155"/>
      <c r="G414" s="164"/>
      <c r="H414" s="179"/>
      <c r="I414" s="155"/>
    </row>
    <row r="415" spans="1:9">
      <c r="A415" s="142"/>
      <c r="B415" s="155"/>
      <c r="C415" s="169"/>
      <c r="D415" s="155"/>
      <c r="E415" s="155"/>
      <c r="G415" s="164"/>
      <c r="H415" s="179"/>
      <c r="I415" s="155"/>
    </row>
    <row r="416" spans="1:9">
      <c r="A416" s="142"/>
      <c r="B416" s="155"/>
      <c r="C416" s="169"/>
      <c r="D416" s="155"/>
      <c r="E416" s="155"/>
      <c r="G416" s="164"/>
      <c r="H416" s="179"/>
      <c r="I416" s="155"/>
    </row>
    <row r="417" spans="1:9">
      <c r="A417" s="142"/>
      <c r="B417" s="155"/>
      <c r="C417" s="169"/>
      <c r="D417" s="155"/>
      <c r="E417" s="155"/>
      <c r="G417" s="164"/>
      <c r="H417" s="179"/>
      <c r="I417" s="155"/>
    </row>
    <row r="418" spans="1:9">
      <c r="A418" s="142"/>
      <c r="B418" s="155"/>
      <c r="C418" s="169"/>
      <c r="D418" s="155"/>
      <c r="E418" s="155"/>
      <c r="G418" s="164"/>
      <c r="H418" s="179"/>
      <c r="I418" s="155"/>
    </row>
    <row r="419" spans="1:9">
      <c r="A419" s="142"/>
      <c r="B419" s="155"/>
      <c r="C419" s="169"/>
      <c r="D419" s="155"/>
      <c r="E419" s="155"/>
      <c r="G419" s="164"/>
      <c r="H419" s="179"/>
      <c r="I419" s="155"/>
    </row>
    <row r="420" spans="1:9">
      <c r="A420" s="142"/>
      <c r="B420" s="155"/>
      <c r="C420" s="169"/>
      <c r="D420" s="155"/>
      <c r="E420" s="155"/>
      <c r="G420" s="164"/>
      <c r="H420" s="179"/>
      <c r="I420" s="155"/>
    </row>
    <row r="421" spans="1:9">
      <c r="A421" s="142"/>
      <c r="B421" s="155"/>
      <c r="C421" s="169"/>
      <c r="D421" s="155"/>
      <c r="E421" s="155"/>
      <c r="G421" s="164"/>
      <c r="H421" s="179"/>
      <c r="I421" s="155"/>
    </row>
    <row r="422" spans="1:9">
      <c r="A422" s="142"/>
      <c r="B422" s="155"/>
      <c r="C422" s="169"/>
      <c r="D422" s="155"/>
      <c r="E422" s="155"/>
      <c r="G422" s="164"/>
      <c r="H422" s="179"/>
      <c r="I422" s="155"/>
    </row>
    <row r="423" spans="1:9">
      <c r="A423" s="142"/>
      <c r="B423" s="155"/>
      <c r="C423" s="169"/>
      <c r="D423" s="155"/>
      <c r="E423" s="155"/>
      <c r="G423" s="164"/>
      <c r="H423" s="179"/>
      <c r="I423" s="155"/>
    </row>
    <row r="424" spans="1:9">
      <c r="A424" s="142"/>
      <c r="B424" s="155"/>
      <c r="C424" s="169"/>
      <c r="D424" s="155"/>
      <c r="E424" s="155"/>
      <c r="G424" s="164"/>
      <c r="H424" s="179"/>
      <c r="I424" s="155"/>
    </row>
    <row r="425" spans="1:9">
      <c r="A425" s="142"/>
      <c r="B425" s="155"/>
      <c r="C425" s="169"/>
      <c r="D425" s="155"/>
      <c r="E425" s="155"/>
      <c r="G425" s="164"/>
      <c r="H425" s="179"/>
      <c r="I425" s="155"/>
    </row>
    <row r="426" spans="1:9">
      <c r="A426" s="142"/>
      <c r="B426" s="155"/>
      <c r="C426" s="169"/>
      <c r="D426" s="155"/>
      <c r="E426" s="155"/>
      <c r="G426" s="164"/>
      <c r="H426" s="179"/>
      <c r="I426" s="155"/>
    </row>
    <row r="427" spans="1:9">
      <c r="A427" s="142"/>
      <c r="B427" s="155"/>
      <c r="C427" s="169"/>
      <c r="D427" s="155"/>
      <c r="E427" s="155"/>
      <c r="G427" s="164"/>
      <c r="H427" s="179"/>
      <c r="I427" s="155"/>
    </row>
    <row r="428" spans="1:9">
      <c r="A428" s="142"/>
      <c r="B428" s="155"/>
      <c r="C428" s="169"/>
      <c r="D428" s="155"/>
      <c r="E428" s="155"/>
      <c r="G428" s="164"/>
      <c r="H428" s="179"/>
      <c r="I428" s="155"/>
    </row>
    <row r="429" spans="1:9">
      <c r="A429" s="142"/>
      <c r="B429" s="155"/>
      <c r="C429" s="169"/>
      <c r="D429" s="155"/>
      <c r="E429" s="155"/>
      <c r="G429" s="164"/>
      <c r="H429" s="179"/>
      <c r="I429" s="155"/>
    </row>
    <row r="430" spans="1:9">
      <c r="A430" s="142"/>
      <c r="B430" s="155"/>
      <c r="C430" s="169"/>
      <c r="D430" s="155"/>
      <c r="E430" s="155"/>
      <c r="G430" s="164"/>
      <c r="H430" s="179"/>
      <c r="I430" s="155"/>
    </row>
    <row r="431" spans="1:9">
      <c r="A431" s="142"/>
      <c r="B431" s="155"/>
      <c r="C431" s="169"/>
      <c r="D431" s="155"/>
      <c r="E431" s="155"/>
      <c r="G431" s="164"/>
      <c r="H431" s="179"/>
      <c r="I431" s="155"/>
    </row>
    <row r="432" spans="1:9">
      <c r="A432" s="142"/>
      <c r="B432" s="155"/>
      <c r="C432" s="169"/>
      <c r="D432" s="155"/>
      <c r="E432" s="155"/>
      <c r="G432" s="164"/>
      <c r="H432" s="179"/>
      <c r="I432" s="155"/>
    </row>
    <row r="433" spans="1:9">
      <c r="A433" s="142"/>
      <c r="B433" s="155"/>
      <c r="C433" s="169"/>
      <c r="D433" s="155"/>
      <c r="E433" s="155"/>
      <c r="G433" s="164"/>
      <c r="H433" s="179"/>
      <c r="I433" s="155"/>
    </row>
    <row r="434" spans="1:9">
      <c r="A434" s="142"/>
      <c r="B434" s="155"/>
      <c r="C434" s="169"/>
      <c r="D434" s="155"/>
      <c r="E434" s="155"/>
      <c r="G434" s="164"/>
      <c r="H434" s="179"/>
      <c r="I434" s="155"/>
    </row>
    <row r="435" spans="1:9">
      <c r="A435" s="142"/>
      <c r="B435" s="155"/>
      <c r="C435" s="169"/>
      <c r="D435" s="155"/>
      <c r="E435" s="155"/>
      <c r="F435" s="224"/>
      <c r="G435" s="128"/>
      <c r="H435" s="179"/>
      <c r="I435" s="155"/>
    </row>
    <row r="436" spans="1:9">
      <c r="A436" s="142"/>
      <c r="B436" s="155"/>
      <c r="C436" s="169"/>
      <c r="D436" s="155"/>
      <c r="E436" s="155"/>
      <c r="F436" s="224"/>
      <c r="G436" s="128"/>
      <c r="H436" s="179"/>
      <c r="I436" s="155"/>
    </row>
    <row r="437" spans="1:9">
      <c r="A437" s="142"/>
      <c r="B437" s="155"/>
      <c r="C437" s="169"/>
      <c r="D437" s="155"/>
      <c r="E437" s="155"/>
      <c r="F437" s="224"/>
      <c r="G437" s="128"/>
      <c r="H437" s="179"/>
      <c r="I437" s="155"/>
    </row>
    <row r="438" spans="1:9">
      <c r="A438" s="142"/>
      <c r="B438" s="155"/>
      <c r="C438" s="169"/>
      <c r="D438" s="155"/>
      <c r="E438" s="155"/>
      <c r="F438" s="224"/>
      <c r="G438" s="128"/>
      <c r="H438" s="179"/>
      <c r="I438" s="155"/>
    </row>
    <row r="439" spans="1:9">
      <c r="A439" s="142"/>
      <c r="B439" s="155"/>
      <c r="C439" s="169"/>
      <c r="D439" s="155"/>
      <c r="E439" s="155"/>
      <c r="F439" s="224"/>
      <c r="G439" s="128"/>
      <c r="H439" s="179"/>
      <c r="I439" s="155"/>
    </row>
    <row r="440" spans="1:9">
      <c r="A440" s="142"/>
      <c r="B440" s="155"/>
      <c r="C440" s="169"/>
      <c r="D440" s="155"/>
      <c r="E440" s="155"/>
      <c r="F440" s="224"/>
      <c r="G440" s="128"/>
      <c r="H440" s="179"/>
      <c r="I440" s="155"/>
    </row>
    <row r="441" spans="1:9">
      <c r="A441" s="142"/>
      <c r="B441" s="155"/>
      <c r="C441" s="169"/>
      <c r="D441" s="155"/>
      <c r="E441" s="155"/>
      <c r="F441" s="224"/>
      <c r="G441" s="128"/>
      <c r="H441" s="179"/>
      <c r="I441" s="155"/>
    </row>
    <row r="442" spans="1:9">
      <c r="A442" s="142"/>
      <c r="B442" s="155"/>
      <c r="C442" s="169"/>
      <c r="D442" s="155"/>
      <c r="E442" s="155"/>
      <c r="F442" s="224"/>
      <c r="G442" s="128"/>
      <c r="H442" s="179"/>
      <c r="I442" s="155"/>
    </row>
    <row r="443" spans="1:9">
      <c r="A443" s="142"/>
      <c r="B443" s="155"/>
      <c r="C443" s="169"/>
      <c r="D443" s="155"/>
      <c r="E443" s="155"/>
      <c r="F443" s="224"/>
      <c r="G443" s="128"/>
      <c r="H443" s="179"/>
      <c r="I443" s="155"/>
    </row>
    <row r="444" spans="1:9">
      <c r="A444" s="142"/>
      <c r="B444" s="155"/>
      <c r="C444" s="169"/>
      <c r="D444" s="155"/>
      <c r="E444" s="155"/>
      <c r="F444" s="224"/>
      <c r="G444" s="128"/>
      <c r="H444" s="179"/>
      <c r="I444" s="155"/>
    </row>
    <row r="445" spans="1:9">
      <c r="A445" s="142"/>
      <c r="B445" s="155"/>
      <c r="C445" s="169"/>
      <c r="D445" s="155"/>
      <c r="E445" s="155"/>
      <c r="F445" s="224"/>
      <c r="G445" s="128"/>
      <c r="H445" s="179"/>
      <c r="I445" s="155"/>
    </row>
    <row r="446" spans="1:9">
      <c r="A446" s="142"/>
      <c r="B446" s="155"/>
      <c r="C446" s="169"/>
      <c r="D446" s="155"/>
      <c r="E446" s="155"/>
      <c r="F446" s="224"/>
      <c r="G446" s="128"/>
      <c r="H446" s="179"/>
      <c r="I446" s="155"/>
    </row>
    <row r="447" spans="1:9">
      <c r="A447" s="142"/>
      <c r="B447" s="155"/>
      <c r="C447" s="169"/>
      <c r="D447" s="155"/>
      <c r="E447" s="155"/>
      <c r="F447" s="224"/>
      <c r="G447" s="128"/>
      <c r="H447" s="179"/>
      <c r="I447" s="155"/>
    </row>
    <row r="448" spans="1:9">
      <c r="A448" s="142"/>
      <c r="B448" s="155"/>
      <c r="C448" s="169"/>
      <c r="D448" s="155"/>
      <c r="E448" s="155"/>
      <c r="F448" s="224"/>
      <c r="G448" s="128"/>
      <c r="H448" s="179"/>
      <c r="I448" s="155"/>
    </row>
    <row r="449" spans="1:9">
      <c r="A449" s="142"/>
      <c r="B449" s="155"/>
      <c r="C449" s="169"/>
      <c r="D449" s="155"/>
      <c r="E449" s="155"/>
      <c r="F449" s="224"/>
      <c r="G449" s="128"/>
      <c r="H449" s="179"/>
      <c r="I449" s="155"/>
    </row>
    <row r="450" spans="1:9">
      <c r="A450" s="142"/>
      <c r="B450" s="155"/>
      <c r="C450" s="169"/>
      <c r="D450" s="155"/>
      <c r="E450" s="155"/>
      <c r="F450" s="224"/>
      <c r="G450" s="128"/>
      <c r="H450" s="179"/>
      <c r="I450" s="155"/>
    </row>
    <row r="451" spans="1:9">
      <c r="A451" s="142"/>
      <c r="B451" s="155"/>
      <c r="C451" s="225"/>
      <c r="D451" s="155"/>
      <c r="E451" s="155"/>
      <c r="F451" s="224"/>
      <c r="G451" s="128"/>
      <c r="H451" s="179"/>
      <c r="I451" s="155"/>
    </row>
    <row r="452" spans="1:9">
      <c r="A452" s="142"/>
      <c r="B452" s="155"/>
      <c r="C452" s="169"/>
      <c r="D452" s="155"/>
      <c r="E452" s="155"/>
      <c r="F452" s="224"/>
      <c r="G452" s="128"/>
      <c r="H452" s="179"/>
      <c r="I452" s="155"/>
    </row>
    <row r="453" spans="1:9">
      <c r="A453" s="142"/>
      <c r="B453" s="155"/>
      <c r="C453" s="169"/>
      <c r="D453" s="155"/>
      <c r="E453" s="155"/>
      <c r="F453" s="224"/>
      <c r="G453" s="128"/>
      <c r="H453" s="179"/>
      <c r="I453" s="155"/>
    </row>
    <row r="454" spans="1:9">
      <c r="A454" s="142"/>
      <c r="B454" s="155"/>
      <c r="C454" s="169"/>
      <c r="D454" s="155"/>
      <c r="E454" s="155"/>
      <c r="F454" s="224"/>
      <c r="G454" s="128"/>
      <c r="H454" s="179"/>
      <c r="I454" s="155"/>
    </row>
    <row r="455" spans="1:9">
      <c r="A455" s="142"/>
      <c r="B455" s="155"/>
      <c r="C455" s="169"/>
      <c r="D455" s="155"/>
      <c r="E455" s="155"/>
      <c r="F455" s="224"/>
      <c r="G455" s="128"/>
      <c r="H455" s="179"/>
      <c r="I455" s="155"/>
    </row>
    <row r="456" spans="1:9">
      <c r="A456" s="142"/>
      <c r="B456" s="155"/>
      <c r="C456" s="169"/>
      <c r="D456" s="155"/>
      <c r="E456" s="155"/>
      <c r="F456" s="224"/>
      <c r="G456" s="128"/>
      <c r="H456" s="179"/>
      <c r="I456" s="155"/>
    </row>
    <row r="457" spans="1:9">
      <c r="A457" s="142"/>
      <c r="B457" s="155"/>
      <c r="C457" s="169"/>
      <c r="D457" s="155"/>
      <c r="E457" s="155"/>
      <c r="F457" s="224"/>
      <c r="G457" s="128"/>
      <c r="H457" s="179"/>
      <c r="I457" s="155"/>
    </row>
    <row r="458" spans="1:9">
      <c r="A458" s="142"/>
      <c r="B458" s="155"/>
      <c r="C458" s="169"/>
      <c r="D458" s="155"/>
      <c r="E458" s="155"/>
      <c r="F458" s="224"/>
      <c r="G458" s="128"/>
      <c r="H458" s="179"/>
      <c r="I458" s="155"/>
    </row>
    <row r="459" spans="1:9">
      <c r="A459" s="142"/>
      <c r="B459" s="155"/>
      <c r="C459" s="169"/>
      <c r="D459" s="155"/>
      <c r="E459" s="155"/>
      <c r="F459" s="224"/>
      <c r="G459" s="128"/>
      <c r="H459" s="179"/>
      <c r="I459" s="155"/>
    </row>
    <row r="460" spans="1:9">
      <c r="A460" s="142"/>
      <c r="B460" s="155"/>
      <c r="C460" s="169"/>
      <c r="D460" s="155"/>
      <c r="E460" s="155"/>
      <c r="F460" s="224"/>
      <c r="G460" s="128"/>
      <c r="H460" s="179"/>
      <c r="I460" s="155"/>
    </row>
    <row r="461" spans="1:9">
      <c r="A461" s="142"/>
      <c r="B461" s="155"/>
      <c r="C461" s="169"/>
      <c r="D461" s="155"/>
      <c r="E461" s="155"/>
      <c r="F461" s="224"/>
      <c r="G461" s="128"/>
      <c r="H461" s="179"/>
      <c r="I461" s="155"/>
    </row>
    <row r="462" spans="1:9">
      <c r="A462" s="142"/>
      <c r="B462" s="155"/>
      <c r="C462" s="169"/>
      <c r="D462" s="155"/>
      <c r="E462" s="155"/>
      <c r="F462" s="224"/>
      <c r="G462" s="128"/>
      <c r="H462" s="179"/>
      <c r="I462" s="155"/>
    </row>
    <row r="463" spans="1:9">
      <c r="A463" s="142"/>
      <c r="B463" s="155"/>
      <c r="C463" s="169"/>
      <c r="D463" s="155"/>
      <c r="E463" s="155"/>
      <c r="F463" s="224"/>
      <c r="G463" s="128"/>
      <c r="H463" s="179"/>
      <c r="I463" s="155"/>
    </row>
    <row r="464" spans="1:9">
      <c r="A464" s="142"/>
      <c r="B464" s="155"/>
      <c r="C464" s="169"/>
      <c r="D464" s="155"/>
      <c r="E464" s="155"/>
      <c r="F464" s="224"/>
      <c r="G464" s="128"/>
      <c r="H464" s="179"/>
      <c r="I464" s="155"/>
    </row>
    <row r="465" spans="1:9">
      <c r="A465" s="142"/>
      <c r="B465" s="155"/>
      <c r="C465" s="169"/>
      <c r="D465" s="155"/>
      <c r="E465" s="155"/>
      <c r="F465" s="224"/>
      <c r="G465" s="128"/>
      <c r="H465" s="179"/>
      <c r="I465" s="155"/>
    </row>
    <row r="466" spans="1:9">
      <c r="A466" s="142"/>
      <c r="B466" s="155"/>
      <c r="C466" s="169"/>
      <c r="D466" s="155"/>
      <c r="E466" s="155"/>
      <c r="F466" s="224"/>
      <c r="G466" s="128"/>
      <c r="H466" s="179"/>
      <c r="I466" s="155"/>
    </row>
    <row r="467" spans="1:9">
      <c r="A467" s="142"/>
      <c r="B467" s="155"/>
      <c r="C467" s="169"/>
      <c r="D467" s="155"/>
      <c r="E467" s="155"/>
      <c r="F467" s="224"/>
      <c r="G467" s="128"/>
      <c r="H467" s="179"/>
      <c r="I467" s="155"/>
    </row>
    <row r="468" spans="1:9">
      <c r="A468" s="142"/>
      <c r="B468" s="155"/>
      <c r="C468" s="169"/>
      <c r="D468" s="155"/>
      <c r="E468" s="155"/>
      <c r="F468" s="224"/>
      <c r="G468" s="128"/>
      <c r="H468" s="179"/>
      <c r="I468" s="155"/>
    </row>
    <row r="469" spans="1:9">
      <c r="A469" s="142"/>
      <c r="B469" s="155"/>
      <c r="C469" s="169"/>
      <c r="D469" s="155"/>
      <c r="E469" s="155"/>
      <c r="F469" s="224"/>
      <c r="G469" s="128"/>
      <c r="H469" s="179"/>
      <c r="I469" s="155"/>
    </row>
    <row r="470" spans="1:9">
      <c r="A470" s="142"/>
      <c r="B470" s="155"/>
      <c r="C470" s="169"/>
      <c r="D470" s="155"/>
      <c r="E470" s="155"/>
      <c r="F470" s="224"/>
      <c r="G470" s="128"/>
      <c r="H470" s="179"/>
      <c r="I470" s="155"/>
    </row>
    <row r="471" spans="1:9">
      <c r="A471" s="142"/>
      <c r="B471" s="155"/>
      <c r="C471" s="169"/>
      <c r="D471" s="155"/>
      <c r="E471" s="155"/>
      <c r="F471" s="224"/>
      <c r="G471" s="128"/>
      <c r="H471" s="179"/>
      <c r="I471" s="155"/>
    </row>
    <row r="472" spans="1:9">
      <c r="A472" s="142"/>
      <c r="B472" s="155"/>
      <c r="C472" s="169"/>
      <c r="D472" s="155"/>
      <c r="E472" s="155"/>
      <c r="F472" s="224"/>
      <c r="G472" s="128"/>
      <c r="H472" s="179"/>
      <c r="I472" s="155"/>
    </row>
    <row r="473" spans="1:9">
      <c r="A473" s="142"/>
      <c r="B473" s="155"/>
      <c r="C473" s="169"/>
      <c r="D473" s="155"/>
      <c r="E473" s="155"/>
      <c r="F473" s="224"/>
      <c r="G473" s="128"/>
      <c r="H473" s="179"/>
      <c r="I473" s="155"/>
    </row>
    <row r="474" spans="1:9">
      <c r="A474" s="142"/>
      <c r="B474" s="155"/>
      <c r="C474" s="169"/>
      <c r="D474" s="155"/>
      <c r="E474" s="155"/>
      <c r="F474" s="224"/>
      <c r="G474" s="128"/>
      <c r="H474" s="179"/>
      <c r="I474" s="155"/>
    </row>
    <row r="475" spans="1:9">
      <c r="A475" s="142"/>
      <c r="B475" s="155"/>
      <c r="C475" s="169"/>
      <c r="D475" s="155"/>
      <c r="E475" s="155"/>
      <c r="F475" s="224"/>
      <c r="G475" s="128"/>
      <c r="H475" s="179"/>
      <c r="I475" s="155"/>
    </row>
    <row r="476" spans="1:9">
      <c r="A476" s="142"/>
      <c r="B476" s="155"/>
      <c r="C476" s="169"/>
      <c r="D476" s="155"/>
      <c r="E476" s="155"/>
      <c r="F476" s="224"/>
      <c r="G476" s="128"/>
      <c r="H476" s="179"/>
      <c r="I476" s="155"/>
    </row>
    <row r="477" spans="1:9">
      <c r="A477" s="142"/>
      <c r="B477" s="155"/>
      <c r="C477" s="169"/>
      <c r="D477" s="155"/>
      <c r="E477" s="155"/>
      <c r="F477" s="224"/>
      <c r="G477" s="128"/>
      <c r="H477" s="179"/>
      <c r="I477" s="155"/>
    </row>
    <row r="478" spans="1:9">
      <c r="A478" s="142"/>
      <c r="B478" s="155"/>
      <c r="C478" s="169"/>
      <c r="D478" s="155"/>
      <c r="E478" s="155"/>
      <c r="F478" s="224"/>
      <c r="G478" s="128"/>
      <c r="H478" s="179"/>
      <c r="I478" s="155"/>
    </row>
    <row r="479" spans="1:9">
      <c r="A479" s="142"/>
      <c r="B479" s="155"/>
      <c r="C479" s="169"/>
      <c r="D479" s="155"/>
      <c r="E479" s="155"/>
      <c r="F479" s="224"/>
      <c r="G479" s="128"/>
      <c r="H479" s="179"/>
      <c r="I479" s="155"/>
    </row>
    <row r="480" spans="1:9">
      <c r="A480" s="142"/>
      <c r="B480" s="155"/>
      <c r="C480" s="169"/>
      <c r="D480" s="155"/>
      <c r="E480" s="155"/>
      <c r="F480" s="224"/>
      <c r="G480" s="128"/>
      <c r="H480" s="179"/>
      <c r="I480" s="155"/>
    </row>
    <row r="481" spans="1:9">
      <c r="A481" s="142"/>
      <c r="B481" s="155"/>
      <c r="C481" s="169"/>
      <c r="D481" s="155"/>
      <c r="E481" s="155"/>
      <c r="F481" s="224"/>
      <c r="G481" s="128"/>
      <c r="H481" s="179"/>
      <c r="I481" s="155"/>
    </row>
    <row r="482" spans="1:9">
      <c r="A482" s="142"/>
      <c r="B482" s="155"/>
      <c r="C482" s="169"/>
      <c r="D482" s="155"/>
      <c r="E482" s="155"/>
      <c r="F482" s="224"/>
      <c r="G482" s="128"/>
      <c r="H482" s="179"/>
      <c r="I482" s="155"/>
    </row>
    <row r="483" spans="1:9">
      <c r="A483" s="142"/>
      <c r="B483" s="155"/>
      <c r="C483" s="169"/>
      <c r="D483" s="155"/>
      <c r="E483" s="155"/>
      <c r="F483" s="224"/>
      <c r="G483" s="128"/>
      <c r="H483" s="179"/>
      <c r="I483" s="155"/>
    </row>
    <row r="484" spans="1:9">
      <c r="A484" s="142"/>
      <c r="B484" s="155"/>
      <c r="C484" s="169"/>
      <c r="D484" s="155"/>
      <c r="E484" s="155"/>
      <c r="F484" s="224"/>
      <c r="G484" s="128"/>
      <c r="H484" s="179"/>
      <c r="I484" s="155"/>
    </row>
    <row r="485" spans="1:9">
      <c r="A485" s="142"/>
      <c r="B485" s="155"/>
      <c r="C485" s="169"/>
      <c r="D485" s="155"/>
      <c r="E485" s="155"/>
      <c r="F485" s="224"/>
      <c r="G485" s="128"/>
      <c r="H485" s="179"/>
      <c r="I485" s="155"/>
    </row>
    <row r="486" spans="1:9">
      <c r="A486" s="142"/>
      <c r="B486" s="155"/>
      <c r="C486" s="169"/>
      <c r="D486" s="155"/>
      <c r="E486" s="155"/>
      <c r="F486" s="224"/>
      <c r="G486" s="128"/>
      <c r="H486" s="179"/>
      <c r="I486" s="155"/>
    </row>
    <row r="487" spans="1:9">
      <c r="A487" s="142"/>
      <c r="B487" s="155"/>
      <c r="C487" s="169"/>
      <c r="D487" s="155"/>
      <c r="E487" s="155"/>
      <c r="F487" s="224"/>
      <c r="G487" s="128"/>
      <c r="H487" s="179"/>
      <c r="I487" s="155"/>
    </row>
    <row r="488" spans="1:9">
      <c r="A488" s="142"/>
      <c r="B488" s="155"/>
      <c r="C488" s="169"/>
      <c r="D488" s="155"/>
      <c r="E488" s="155"/>
      <c r="F488" s="224"/>
      <c r="G488" s="128"/>
      <c r="H488" s="179"/>
      <c r="I488" s="155"/>
    </row>
    <row r="489" spans="1:9">
      <c r="A489" s="142"/>
      <c r="B489" s="155"/>
      <c r="C489" s="169"/>
      <c r="D489" s="155"/>
      <c r="E489" s="155"/>
      <c r="F489" s="224"/>
      <c r="G489" s="128"/>
      <c r="H489" s="179"/>
      <c r="I489" s="155"/>
    </row>
    <row r="490" spans="1:9">
      <c r="A490" s="142"/>
      <c r="B490" s="155"/>
      <c r="C490" s="169"/>
      <c r="D490" s="155"/>
      <c r="E490" s="155"/>
      <c r="F490" s="224"/>
      <c r="G490" s="128"/>
      <c r="H490" s="179"/>
      <c r="I490" s="155"/>
    </row>
    <row r="491" spans="1:9">
      <c r="A491" s="142"/>
      <c r="B491" s="155"/>
      <c r="C491" s="169"/>
      <c r="D491" s="155"/>
      <c r="E491" s="155"/>
      <c r="F491" s="224"/>
      <c r="G491" s="128"/>
      <c r="H491" s="179"/>
      <c r="I491" s="155"/>
    </row>
    <row r="492" spans="1:9">
      <c r="A492" s="142"/>
      <c r="B492" s="155"/>
      <c r="C492" s="169"/>
      <c r="D492" s="155"/>
      <c r="E492" s="155"/>
      <c r="F492" s="224"/>
      <c r="G492" s="128"/>
      <c r="H492" s="179"/>
      <c r="I492" s="155"/>
    </row>
    <row r="493" spans="1:9">
      <c r="A493" s="142"/>
      <c r="B493" s="155"/>
      <c r="C493" s="169"/>
      <c r="D493" s="155"/>
      <c r="E493" s="155"/>
      <c r="F493" s="224"/>
      <c r="G493" s="128"/>
      <c r="H493" s="179"/>
      <c r="I493" s="155"/>
    </row>
    <row r="494" spans="1:9">
      <c r="A494" s="142"/>
      <c r="B494" s="155"/>
      <c r="C494" s="169"/>
      <c r="D494" s="155"/>
      <c r="E494" s="155"/>
      <c r="F494" s="224"/>
      <c r="G494" s="128"/>
      <c r="H494" s="179"/>
      <c r="I494" s="155"/>
    </row>
    <row r="495" spans="1:9">
      <c r="A495" s="142"/>
      <c r="B495" s="155"/>
      <c r="C495" s="169"/>
      <c r="D495" s="155"/>
      <c r="E495" s="155"/>
      <c r="F495" s="224"/>
      <c r="G495" s="128"/>
      <c r="H495" s="179"/>
      <c r="I495" s="155"/>
    </row>
    <row r="496" spans="1:9">
      <c r="A496" s="142"/>
      <c r="B496" s="155"/>
      <c r="C496" s="169"/>
      <c r="D496" s="155"/>
      <c r="E496" s="155"/>
      <c r="F496" s="224"/>
      <c r="G496" s="128"/>
      <c r="H496" s="179"/>
      <c r="I496" s="155"/>
    </row>
    <row r="497" spans="1:9">
      <c r="A497" s="142"/>
      <c r="B497" s="155"/>
      <c r="C497" s="169"/>
      <c r="D497" s="155"/>
      <c r="E497" s="155"/>
      <c r="F497" s="224"/>
      <c r="G497" s="128"/>
      <c r="H497" s="179"/>
      <c r="I497" s="155"/>
    </row>
    <row r="498" spans="1:9">
      <c r="A498" s="142"/>
      <c r="B498" s="155"/>
      <c r="C498" s="169"/>
      <c r="D498" s="155"/>
      <c r="E498" s="155"/>
      <c r="F498" s="224"/>
      <c r="G498" s="128"/>
      <c r="H498" s="179"/>
      <c r="I498" s="155"/>
    </row>
    <row r="499" spans="1:9">
      <c r="A499" s="142"/>
      <c r="B499" s="155"/>
      <c r="C499" s="169"/>
      <c r="D499" s="155"/>
      <c r="E499" s="155"/>
      <c r="F499" s="224"/>
      <c r="G499" s="128"/>
      <c r="H499" s="179"/>
      <c r="I499" s="155"/>
    </row>
    <row r="500" spans="1:9">
      <c r="A500" s="142"/>
      <c r="B500" s="155"/>
      <c r="C500" s="169"/>
      <c r="D500" s="155"/>
      <c r="E500" s="155"/>
      <c r="F500" s="224"/>
      <c r="G500" s="128"/>
      <c r="H500" s="179"/>
      <c r="I500" s="155"/>
    </row>
    <row r="501" spans="1:9">
      <c r="A501" s="142"/>
      <c r="B501" s="155"/>
      <c r="C501" s="169"/>
      <c r="D501" s="155"/>
      <c r="E501" s="155"/>
      <c r="F501" s="224"/>
      <c r="G501" s="128"/>
      <c r="H501" s="179"/>
      <c r="I501" s="155"/>
    </row>
    <row r="502" spans="1:9">
      <c r="A502" s="142"/>
      <c r="B502" s="155"/>
      <c r="C502" s="169"/>
      <c r="D502" s="155"/>
      <c r="E502" s="155"/>
      <c r="F502" s="224"/>
      <c r="G502" s="128"/>
      <c r="H502" s="179"/>
      <c r="I502" s="155"/>
    </row>
    <row r="503" spans="1:9">
      <c r="A503" s="142"/>
      <c r="B503" s="155"/>
      <c r="C503" s="169"/>
      <c r="D503" s="155"/>
      <c r="E503" s="155"/>
      <c r="F503" s="224"/>
      <c r="G503" s="128"/>
      <c r="H503" s="179"/>
      <c r="I503" s="155"/>
    </row>
    <row r="504" spans="1:9">
      <c r="A504" s="142"/>
      <c r="B504" s="155"/>
      <c r="C504" s="169"/>
      <c r="D504" s="155"/>
      <c r="E504" s="155"/>
      <c r="F504" s="224"/>
      <c r="G504" s="128"/>
      <c r="H504" s="179"/>
      <c r="I504" s="155"/>
    </row>
    <row r="505" spans="1:9">
      <c r="A505" s="142"/>
      <c r="B505" s="155"/>
      <c r="C505" s="169"/>
      <c r="D505" s="155"/>
      <c r="E505" s="155"/>
      <c r="F505" s="224"/>
      <c r="G505" s="128"/>
      <c r="H505" s="179"/>
      <c r="I505" s="155"/>
    </row>
    <row r="506" spans="1:9">
      <c r="A506" s="142"/>
      <c r="B506" s="155"/>
      <c r="C506" s="169"/>
      <c r="D506" s="155"/>
      <c r="E506" s="155"/>
      <c r="F506" s="224"/>
      <c r="G506" s="128"/>
      <c r="H506" s="179"/>
      <c r="I506" s="155"/>
    </row>
    <row r="507" spans="1:9">
      <c r="A507" s="142"/>
      <c r="B507" s="155"/>
      <c r="C507" s="169"/>
      <c r="D507" s="155"/>
      <c r="E507" s="155"/>
      <c r="F507" s="224"/>
      <c r="G507" s="128"/>
      <c r="H507" s="179"/>
      <c r="I507" s="155"/>
    </row>
    <row r="508" spans="1:9">
      <c r="A508" s="142"/>
      <c r="B508" s="155"/>
      <c r="C508" s="169"/>
      <c r="D508" s="155"/>
      <c r="E508" s="155"/>
      <c r="F508" s="224"/>
      <c r="G508" s="128"/>
      <c r="H508" s="179"/>
      <c r="I508" s="155"/>
    </row>
    <row r="509" spans="1:9">
      <c r="A509" s="142"/>
      <c r="B509" s="155"/>
      <c r="C509" s="169"/>
      <c r="D509" s="155"/>
      <c r="E509" s="155"/>
      <c r="F509" s="224"/>
      <c r="G509" s="128"/>
      <c r="H509" s="179"/>
      <c r="I509" s="155"/>
    </row>
    <row r="510" spans="1:9">
      <c r="A510" s="142"/>
      <c r="B510" s="155"/>
      <c r="C510" s="169"/>
      <c r="D510" s="155"/>
      <c r="E510" s="155"/>
      <c r="F510" s="224"/>
      <c r="G510" s="128"/>
      <c r="H510" s="179"/>
      <c r="I510" s="155"/>
    </row>
    <row r="511" spans="1:9">
      <c r="A511" s="142"/>
      <c r="B511" s="155"/>
      <c r="C511" s="169"/>
      <c r="D511" s="155"/>
      <c r="E511" s="155"/>
      <c r="F511" s="224"/>
      <c r="G511" s="128"/>
      <c r="H511" s="179"/>
      <c r="I511" s="155"/>
    </row>
    <row r="512" spans="1:9">
      <c r="A512" s="142"/>
      <c r="B512" s="155"/>
      <c r="C512" s="169"/>
      <c r="D512" s="155"/>
      <c r="E512" s="155"/>
      <c r="F512" s="224"/>
      <c r="G512" s="128"/>
      <c r="H512" s="179"/>
      <c r="I512" s="155"/>
    </row>
    <row r="513" spans="1:9">
      <c r="A513" s="142"/>
      <c r="B513" s="155"/>
      <c r="C513" s="169"/>
      <c r="D513" s="155"/>
      <c r="E513" s="155"/>
      <c r="F513" s="224"/>
      <c r="G513" s="128"/>
      <c r="H513" s="179"/>
      <c r="I513" s="155"/>
    </row>
    <row r="514" spans="1:9">
      <c r="A514" s="142"/>
      <c r="B514" s="155"/>
      <c r="C514" s="169"/>
      <c r="D514" s="155"/>
      <c r="E514" s="155"/>
      <c r="F514" s="224"/>
      <c r="G514" s="128"/>
      <c r="H514" s="179"/>
      <c r="I514" s="155"/>
    </row>
    <row r="515" spans="1:9">
      <c r="A515" s="142"/>
      <c r="B515" s="155"/>
      <c r="C515" s="169"/>
      <c r="D515" s="155"/>
      <c r="E515" s="155"/>
      <c r="F515" s="224"/>
      <c r="G515" s="128"/>
      <c r="H515" s="179"/>
      <c r="I515" s="155"/>
    </row>
    <row r="516" spans="1:9">
      <c r="A516" s="142"/>
      <c r="B516" s="155"/>
      <c r="C516" s="169"/>
      <c r="D516" s="155"/>
      <c r="E516" s="155"/>
      <c r="F516" s="224"/>
      <c r="G516" s="128"/>
      <c r="H516" s="179"/>
      <c r="I516" s="155"/>
    </row>
    <row r="517" spans="1:9">
      <c r="A517" s="142"/>
      <c r="B517" s="155"/>
      <c r="C517" s="169"/>
      <c r="D517" s="155"/>
      <c r="E517" s="155"/>
      <c r="F517" s="224"/>
      <c r="G517" s="128"/>
      <c r="H517" s="179"/>
      <c r="I517" s="155"/>
    </row>
    <row r="518" spans="1:9">
      <c r="A518" s="142"/>
      <c r="B518" s="155"/>
      <c r="C518" s="169"/>
      <c r="D518" s="155"/>
      <c r="E518" s="155"/>
      <c r="F518" s="224"/>
      <c r="G518" s="128"/>
      <c r="H518" s="179"/>
      <c r="I518" s="155"/>
    </row>
    <row r="519" spans="1:9">
      <c r="A519" s="142"/>
      <c r="B519" s="155"/>
      <c r="C519" s="169"/>
      <c r="D519" s="155"/>
      <c r="E519" s="155"/>
      <c r="F519" s="224"/>
      <c r="G519" s="128"/>
      <c r="H519" s="179"/>
      <c r="I519" s="155"/>
    </row>
    <row r="520" spans="1:9">
      <c r="A520" s="142"/>
      <c r="B520" s="155"/>
      <c r="C520" s="169"/>
      <c r="D520" s="155"/>
      <c r="E520" s="155"/>
      <c r="F520" s="224"/>
      <c r="G520" s="128"/>
      <c r="H520" s="179"/>
      <c r="I520" s="155"/>
    </row>
    <row r="521" spans="1:9">
      <c r="A521" s="142"/>
      <c r="B521" s="155"/>
      <c r="C521" s="169"/>
      <c r="D521" s="155"/>
      <c r="E521" s="155"/>
      <c r="F521" s="224"/>
      <c r="G521" s="128"/>
      <c r="H521" s="179"/>
      <c r="I521" s="155"/>
    </row>
    <row r="522" spans="1:9">
      <c r="A522" s="142"/>
      <c r="B522" s="155"/>
      <c r="C522" s="169"/>
      <c r="D522" s="155"/>
      <c r="E522" s="155"/>
      <c r="F522" s="224"/>
      <c r="G522" s="128"/>
      <c r="H522" s="179"/>
      <c r="I522" s="155"/>
    </row>
    <row r="523" spans="1:9">
      <c r="A523" s="226"/>
      <c r="B523" s="155"/>
      <c r="C523" s="169"/>
      <c r="D523" s="155"/>
      <c r="E523" s="155"/>
      <c r="F523" s="224"/>
      <c r="G523" s="128"/>
      <c r="H523" s="179"/>
      <c r="I523" s="155"/>
    </row>
    <row r="524" spans="1:9">
      <c r="A524" s="226"/>
      <c r="B524" s="155"/>
      <c r="C524" s="169"/>
      <c r="D524" s="155"/>
      <c r="E524" s="155"/>
      <c r="F524" s="224"/>
      <c r="G524" s="128"/>
      <c r="H524" s="179"/>
      <c r="I524" s="155"/>
    </row>
    <row r="525" spans="1:9">
      <c r="A525" s="226"/>
      <c r="B525" s="155"/>
      <c r="C525" s="169"/>
      <c r="D525" s="155"/>
      <c r="E525" s="155"/>
      <c r="F525" s="224"/>
      <c r="G525" s="128"/>
      <c r="H525" s="179"/>
      <c r="I525" s="155"/>
    </row>
    <row r="526" spans="1:9">
      <c r="A526" s="226"/>
      <c r="B526" s="155"/>
      <c r="C526" s="169"/>
      <c r="D526" s="155"/>
      <c r="E526" s="155"/>
      <c r="F526" s="224"/>
      <c r="G526" s="128"/>
      <c r="H526" s="179"/>
      <c r="I526" s="155"/>
    </row>
    <row r="527" spans="1:9">
      <c r="A527" s="226"/>
      <c r="B527" s="155"/>
      <c r="C527" s="169"/>
      <c r="D527" s="155"/>
      <c r="E527" s="155"/>
      <c r="F527" s="224"/>
      <c r="G527" s="128"/>
      <c r="H527" s="179"/>
      <c r="I527" s="155"/>
    </row>
    <row r="528" spans="1:9">
      <c r="A528" s="226"/>
      <c r="B528" s="155"/>
      <c r="C528" s="169"/>
      <c r="D528" s="155"/>
      <c r="E528" s="155"/>
      <c r="F528" s="224"/>
      <c r="G528" s="128"/>
      <c r="H528" s="179"/>
      <c r="I528" s="155"/>
    </row>
    <row r="529" spans="1:9">
      <c r="A529" s="226"/>
      <c r="B529" s="155"/>
      <c r="C529" s="169"/>
      <c r="D529" s="155"/>
      <c r="E529" s="155"/>
      <c r="F529" s="224"/>
      <c r="G529" s="128"/>
      <c r="H529" s="179"/>
      <c r="I529" s="155"/>
    </row>
    <row r="530" spans="1:9">
      <c r="A530" s="226"/>
      <c r="B530" s="155"/>
      <c r="C530" s="169"/>
      <c r="D530" s="155"/>
      <c r="E530" s="155"/>
      <c r="F530" s="224"/>
      <c r="G530" s="128"/>
      <c r="H530" s="179"/>
      <c r="I530" s="155"/>
    </row>
    <row r="531" spans="1:9">
      <c r="A531" s="226"/>
      <c r="B531" s="155"/>
      <c r="C531" s="169"/>
      <c r="D531" s="155"/>
      <c r="E531" s="155"/>
      <c r="F531" s="224"/>
      <c r="G531" s="128"/>
      <c r="H531" s="179"/>
      <c r="I531" s="155"/>
    </row>
    <row r="532" spans="1:9">
      <c r="A532" s="226"/>
      <c r="B532" s="155"/>
      <c r="C532" s="169"/>
      <c r="D532" s="155"/>
      <c r="E532" s="155"/>
      <c r="F532" s="224"/>
      <c r="G532" s="128"/>
      <c r="H532" s="179"/>
      <c r="I532" s="155"/>
    </row>
    <row r="533" spans="1:9">
      <c r="A533" s="226"/>
      <c r="B533" s="155"/>
      <c r="C533" s="169"/>
      <c r="D533" s="155"/>
      <c r="E533" s="155"/>
      <c r="F533" s="224"/>
      <c r="G533" s="128"/>
      <c r="H533" s="179"/>
      <c r="I533" s="155"/>
    </row>
    <row r="534" spans="1:9">
      <c r="A534" s="226"/>
      <c r="B534" s="155"/>
      <c r="C534" s="169"/>
      <c r="D534" s="155"/>
      <c r="E534" s="155"/>
      <c r="F534" s="224"/>
      <c r="G534" s="128"/>
      <c r="H534" s="179"/>
      <c r="I534" s="155"/>
    </row>
    <row r="535" spans="1:9">
      <c r="A535" s="226"/>
      <c r="B535" s="155"/>
      <c r="C535" s="169"/>
      <c r="D535" s="155"/>
      <c r="E535" s="155"/>
      <c r="F535" s="224"/>
      <c r="G535" s="128"/>
      <c r="H535" s="179"/>
      <c r="I535" s="155"/>
    </row>
    <row r="536" spans="1:9">
      <c r="A536" s="226"/>
      <c r="B536" s="155"/>
      <c r="C536" s="169"/>
      <c r="D536" s="155"/>
      <c r="E536" s="155"/>
      <c r="F536" s="224"/>
      <c r="G536" s="128"/>
      <c r="H536" s="179"/>
      <c r="I536" s="155"/>
    </row>
    <row r="537" spans="1:9">
      <c r="A537" s="226"/>
      <c r="B537" s="155"/>
      <c r="C537" s="169"/>
      <c r="D537" s="155"/>
      <c r="E537" s="155"/>
      <c r="F537" s="224"/>
      <c r="G537" s="128"/>
      <c r="H537" s="179"/>
      <c r="I537" s="155"/>
    </row>
    <row r="538" spans="1:9">
      <c r="A538" s="226"/>
      <c r="B538" s="155"/>
      <c r="C538" s="169"/>
      <c r="D538" s="155"/>
      <c r="E538" s="155"/>
      <c r="F538" s="224"/>
      <c r="G538" s="128"/>
      <c r="H538" s="179"/>
      <c r="I538" s="155"/>
    </row>
    <row r="539" spans="1:9">
      <c r="A539" s="226"/>
      <c r="B539" s="155"/>
      <c r="C539" s="169"/>
      <c r="D539" s="155"/>
      <c r="E539" s="155"/>
      <c r="F539" s="224"/>
      <c r="G539" s="128"/>
      <c r="H539" s="179"/>
      <c r="I539" s="155"/>
    </row>
    <row r="540" spans="1:9">
      <c r="A540" s="226"/>
      <c r="B540" s="155"/>
      <c r="C540" s="169"/>
      <c r="D540" s="155"/>
      <c r="E540" s="155"/>
      <c r="F540" s="224"/>
      <c r="G540" s="128"/>
      <c r="H540" s="179"/>
      <c r="I540" s="155"/>
    </row>
    <row r="541" spans="1:9">
      <c r="A541" s="226"/>
      <c r="B541" s="155"/>
      <c r="C541" s="169"/>
      <c r="D541" s="155"/>
      <c r="E541" s="155"/>
      <c r="F541" s="224"/>
      <c r="G541" s="128"/>
      <c r="H541" s="179"/>
      <c r="I541" s="155"/>
    </row>
    <row r="542" spans="1:9">
      <c r="A542" s="226"/>
      <c r="B542" s="155"/>
      <c r="C542" s="169"/>
      <c r="D542" s="155"/>
      <c r="E542" s="155"/>
      <c r="F542" s="224"/>
      <c r="G542" s="128"/>
      <c r="H542" s="179"/>
      <c r="I542" s="155"/>
    </row>
    <row r="543" spans="1:9">
      <c r="A543" s="226"/>
      <c r="B543" s="155"/>
      <c r="C543" s="169"/>
      <c r="D543" s="155"/>
      <c r="E543" s="155"/>
      <c r="F543" s="224"/>
      <c r="G543" s="128"/>
      <c r="H543" s="179"/>
      <c r="I543" s="155"/>
    </row>
    <row r="544" spans="1:9">
      <c r="A544" s="226"/>
      <c r="B544" s="155"/>
      <c r="C544" s="169"/>
      <c r="D544" s="155"/>
      <c r="E544" s="155"/>
      <c r="F544" s="224"/>
      <c r="G544" s="128"/>
      <c r="H544" s="179"/>
      <c r="I544" s="155"/>
    </row>
    <row r="545" spans="1:9">
      <c r="A545" s="226"/>
      <c r="B545" s="155"/>
      <c r="C545" s="169"/>
      <c r="D545" s="155"/>
      <c r="E545" s="155"/>
      <c r="F545" s="224"/>
      <c r="G545" s="128"/>
      <c r="H545" s="179"/>
      <c r="I545" s="155"/>
    </row>
    <row r="546" spans="1:9">
      <c r="A546" s="226"/>
      <c r="B546" s="155"/>
      <c r="C546" s="169"/>
      <c r="D546" s="155"/>
      <c r="E546" s="155"/>
      <c r="F546" s="224"/>
      <c r="G546" s="128"/>
      <c r="H546" s="179"/>
      <c r="I546" s="155"/>
    </row>
    <row r="547" spans="1:9">
      <c r="A547" s="226"/>
      <c r="B547" s="155"/>
      <c r="C547" s="169"/>
      <c r="D547" s="155"/>
      <c r="E547" s="155"/>
      <c r="F547" s="224"/>
      <c r="G547" s="128"/>
      <c r="H547" s="179"/>
      <c r="I547" s="155"/>
    </row>
    <row r="548" spans="1:9">
      <c r="A548" s="226"/>
      <c r="B548" s="155"/>
      <c r="C548" s="169"/>
      <c r="D548" s="155"/>
      <c r="E548" s="155"/>
      <c r="F548" s="224"/>
      <c r="G548" s="128"/>
      <c r="H548" s="179"/>
      <c r="I548" s="155"/>
    </row>
    <row r="549" spans="1:9">
      <c r="A549" s="226"/>
      <c r="B549" s="155"/>
      <c r="C549" s="169"/>
      <c r="D549" s="155"/>
      <c r="E549" s="155"/>
      <c r="F549" s="224"/>
      <c r="G549" s="128"/>
      <c r="H549" s="179"/>
      <c r="I549" s="155"/>
    </row>
    <row r="550" spans="1:9">
      <c r="A550" s="226"/>
      <c r="B550" s="155"/>
      <c r="C550" s="169"/>
      <c r="D550" s="155"/>
      <c r="E550" s="155"/>
      <c r="F550" s="224"/>
      <c r="G550" s="128"/>
      <c r="H550" s="179"/>
      <c r="I550" s="155"/>
    </row>
    <row r="551" spans="1:9">
      <c r="A551" s="226"/>
      <c r="B551" s="155"/>
      <c r="C551" s="169"/>
      <c r="D551" s="155"/>
      <c r="E551" s="155"/>
      <c r="F551" s="224"/>
      <c r="G551" s="128"/>
      <c r="H551" s="179"/>
      <c r="I551" s="155"/>
    </row>
    <row r="552" spans="1:9">
      <c r="A552" s="226"/>
      <c r="B552" s="155"/>
      <c r="C552" s="169"/>
      <c r="D552" s="155"/>
      <c r="E552" s="155"/>
      <c r="F552" s="224"/>
      <c r="G552" s="128"/>
      <c r="H552" s="179"/>
      <c r="I552" s="155"/>
    </row>
    <row r="553" spans="1:9">
      <c r="A553" s="226"/>
      <c r="B553" s="155"/>
      <c r="C553" s="169"/>
      <c r="D553" s="155"/>
      <c r="E553" s="155"/>
      <c r="F553" s="224"/>
      <c r="G553" s="128"/>
      <c r="H553" s="179"/>
      <c r="I553" s="155"/>
    </row>
    <row r="554" spans="1:9">
      <c r="A554" s="226"/>
      <c r="B554" s="155"/>
      <c r="C554" s="169"/>
      <c r="D554" s="155"/>
      <c r="E554" s="155"/>
      <c r="F554" s="224"/>
      <c r="G554" s="128"/>
      <c r="H554" s="179"/>
      <c r="I554" s="155"/>
    </row>
    <row r="555" spans="1:9">
      <c r="A555" s="226"/>
      <c r="B555" s="155"/>
      <c r="C555" s="169"/>
      <c r="D555" s="155"/>
      <c r="E555" s="155"/>
      <c r="F555" s="224"/>
      <c r="G555" s="128"/>
      <c r="H555" s="179"/>
      <c r="I555" s="155"/>
    </row>
    <row r="556" spans="1:9">
      <c r="A556" s="226"/>
      <c r="B556" s="155"/>
      <c r="C556" s="169"/>
      <c r="D556" s="155"/>
      <c r="E556" s="155"/>
      <c r="F556" s="224"/>
      <c r="G556" s="128"/>
      <c r="H556" s="179"/>
      <c r="I556" s="155"/>
    </row>
    <row r="557" spans="1:9">
      <c r="A557" s="226"/>
      <c r="B557" s="155"/>
      <c r="C557" s="169"/>
      <c r="D557" s="155"/>
      <c r="E557" s="155"/>
      <c r="F557" s="224"/>
      <c r="G557" s="128"/>
      <c r="H557" s="179"/>
      <c r="I557" s="155"/>
    </row>
    <row r="558" spans="1:9">
      <c r="A558" s="226"/>
      <c r="B558" s="155"/>
      <c r="C558" s="169"/>
      <c r="D558" s="155"/>
      <c r="E558" s="155"/>
      <c r="F558" s="224"/>
      <c r="G558" s="128"/>
      <c r="H558" s="179"/>
      <c r="I558" s="155"/>
    </row>
    <row r="559" spans="1:9">
      <c r="A559" s="226"/>
      <c r="B559" s="155"/>
      <c r="C559" s="169"/>
      <c r="D559" s="155"/>
      <c r="E559" s="155"/>
      <c r="F559" s="224"/>
      <c r="G559" s="128"/>
      <c r="H559" s="179"/>
      <c r="I559" s="155"/>
    </row>
    <row r="560" spans="1:9">
      <c r="A560" s="226"/>
      <c r="B560" s="155"/>
      <c r="C560" s="169"/>
      <c r="D560" s="155"/>
      <c r="E560" s="155"/>
      <c r="F560" s="224"/>
      <c r="G560" s="128"/>
      <c r="H560" s="179"/>
      <c r="I560" s="155"/>
    </row>
    <row r="561" spans="1:9">
      <c r="A561" s="226"/>
      <c r="B561" s="155"/>
      <c r="C561" s="169"/>
      <c r="D561" s="155"/>
      <c r="E561" s="155"/>
      <c r="F561" s="224"/>
      <c r="G561" s="128"/>
      <c r="H561" s="179"/>
      <c r="I561" s="155"/>
    </row>
    <row r="562" spans="1:9">
      <c r="A562" s="226"/>
      <c r="B562" s="155"/>
      <c r="C562" s="169"/>
      <c r="D562" s="155"/>
      <c r="E562" s="155"/>
      <c r="F562" s="224"/>
      <c r="G562" s="128"/>
      <c r="H562" s="179"/>
      <c r="I562" s="155"/>
    </row>
    <row r="563" spans="1:9">
      <c r="A563" s="226"/>
      <c r="B563" s="155"/>
      <c r="C563" s="169"/>
      <c r="D563" s="155"/>
      <c r="E563" s="155"/>
      <c r="F563" s="224"/>
      <c r="G563" s="128"/>
      <c r="H563" s="179"/>
      <c r="I563" s="155"/>
    </row>
    <row r="564" spans="1:9">
      <c r="A564" s="226"/>
      <c r="B564" s="155"/>
      <c r="C564" s="169"/>
      <c r="D564" s="155"/>
      <c r="E564" s="155"/>
      <c r="F564" s="224"/>
      <c r="G564" s="128"/>
      <c r="H564" s="179"/>
      <c r="I564" s="155"/>
    </row>
    <row r="565" spans="1:9">
      <c r="A565" s="226"/>
      <c r="B565" s="155"/>
      <c r="C565" s="169"/>
      <c r="D565" s="155"/>
      <c r="E565" s="155"/>
      <c r="F565" s="224"/>
      <c r="G565" s="128"/>
      <c r="H565" s="179"/>
      <c r="I565" s="155"/>
    </row>
    <row r="566" spans="1:9">
      <c r="A566" s="226"/>
      <c r="B566" s="155"/>
      <c r="C566" s="169"/>
      <c r="D566" s="155"/>
      <c r="E566" s="155"/>
      <c r="F566" s="224"/>
      <c r="G566" s="128"/>
      <c r="H566" s="179"/>
      <c r="I566" s="155"/>
    </row>
    <row r="567" spans="1:9">
      <c r="A567" s="226"/>
      <c r="B567" s="155"/>
      <c r="C567" s="169"/>
      <c r="D567" s="155"/>
      <c r="E567" s="155"/>
      <c r="F567" s="224"/>
      <c r="G567" s="128"/>
      <c r="H567" s="179"/>
      <c r="I567" s="155"/>
    </row>
    <row r="568" spans="1:9">
      <c r="A568" s="226"/>
      <c r="B568" s="155"/>
      <c r="C568" s="169"/>
      <c r="D568" s="155"/>
      <c r="E568" s="155"/>
      <c r="F568" s="224"/>
      <c r="G568" s="128"/>
      <c r="H568" s="179"/>
      <c r="I568" s="155"/>
    </row>
    <row r="569" spans="1:9">
      <c r="A569" s="226"/>
      <c r="B569" s="155"/>
      <c r="C569" s="169"/>
      <c r="D569" s="155"/>
      <c r="E569" s="155"/>
      <c r="F569" s="224"/>
      <c r="G569" s="128"/>
      <c r="H569" s="179"/>
      <c r="I569" s="155"/>
    </row>
    <row r="570" spans="1:9">
      <c r="A570" s="226"/>
      <c r="B570" s="155"/>
      <c r="C570" s="169"/>
      <c r="D570" s="155"/>
      <c r="E570" s="155"/>
      <c r="F570" s="224"/>
      <c r="G570" s="128"/>
      <c r="H570" s="179"/>
      <c r="I570" s="155"/>
    </row>
    <row r="571" spans="1:9">
      <c r="A571" s="226"/>
      <c r="B571" s="155"/>
      <c r="C571" s="169"/>
      <c r="D571" s="155"/>
      <c r="E571" s="155"/>
      <c r="F571" s="224"/>
      <c r="G571" s="128"/>
      <c r="H571" s="179"/>
      <c r="I571" s="155"/>
    </row>
    <row r="572" spans="1:9">
      <c r="A572" s="226"/>
      <c r="B572" s="155"/>
      <c r="C572" s="169"/>
      <c r="D572" s="155"/>
      <c r="E572" s="155"/>
      <c r="F572" s="224"/>
      <c r="G572" s="128"/>
      <c r="H572" s="179"/>
      <c r="I572" s="155"/>
    </row>
    <row r="573" spans="1:9">
      <c r="A573" s="226"/>
      <c r="B573" s="155"/>
      <c r="C573" s="169"/>
      <c r="D573" s="155"/>
      <c r="E573" s="155"/>
      <c r="F573" s="224"/>
      <c r="G573" s="128"/>
      <c r="H573" s="179"/>
      <c r="I573" s="155"/>
    </row>
    <row r="574" spans="1:9">
      <c r="A574" s="226"/>
      <c r="B574" s="155"/>
      <c r="C574" s="169"/>
      <c r="D574" s="155"/>
      <c r="E574" s="155"/>
      <c r="F574" s="224"/>
      <c r="G574" s="128"/>
      <c r="H574" s="179"/>
      <c r="I574" s="155"/>
    </row>
    <row r="575" spans="1:9">
      <c r="A575" s="226"/>
      <c r="B575" s="155"/>
      <c r="C575" s="169"/>
      <c r="D575" s="155"/>
      <c r="E575" s="155"/>
      <c r="F575" s="224"/>
      <c r="G575" s="128"/>
      <c r="H575" s="179"/>
      <c r="I575" s="155"/>
    </row>
    <row r="576" spans="1:9">
      <c r="A576" s="226"/>
      <c r="B576" s="155"/>
      <c r="C576" s="169"/>
      <c r="D576" s="155"/>
      <c r="E576" s="155"/>
      <c r="F576" s="224"/>
      <c r="G576" s="128"/>
      <c r="H576" s="179"/>
      <c r="I576" s="155"/>
    </row>
    <row r="577" spans="1:9">
      <c r="A577" s="226"/>
      <c r="B577" s="155"/>
      <c r="C577" s="169"/>
      <c r="D577" s="155"/>
      <c r="E577" s="155"/>
      <c r="F577" s="224"/>
      <c r="G577" s="128"/>
      <c r="H577" s="179"/>
      <c r="I577" s="155"/>
    </row>
    <row r="578" spans="1:9">
      <c r="A578" s="226"/>
      <c r="B578" s="155"/>
      <c r="C578" s="169"/>
      <c r="D578" s="155"/>
      <c r="E578" s="155"/>
      <c r="F578" s="224"/>
      <c r="G578" s="128"/>
      <c r="H578" s="179"/>
      <c r="I578" s="155"/>
    </row>
    <row r="579" spans="1:9">
      <c r="A579" s="226"/>
      <c r="B579" s="155"/>
      <c r="C579" s="169"/>
      <c r="D579" s="155"/>
      <c r="E579" s="155"/>
      <c r="F579" s="224"/>
      <c r="G579" s="128"/>
      <c r="H579" s="179"/>
      <c r="I579" s="155"/>
    </row>
    <row r="580" spans="1:9">
      <c r="A580" s="226"/>
      <c r="B580" s="155"/>
      <c r="C580" s="169"/>
      <c r="D580" s="155"/>
      <c r="E580" s="155"/>
      <c r="F580" s="224"/>
      <c r="G580" s="128"/>
      <c r="H580" s="179"/>
      <c r="I580" s="155"/>
    </row>
    <row r="581" spans="1:9">
      <c r="A581" s="226"/>
      <c r="B581" s="155"/>
      <c r="C581" s="169"/>
      <c r="D581" s="155"/>
      <c r="E581" s="155"/>
      <c r="F581" s="224"/>
      <c r="G581" s="128"/>
      <c r="H581" s="179"/>
      <c r="I581" s="155"/>
    </row>
    <row r="582" spans="1:9">
      <c r="A582" s="226"/>
      <c r="B582" s="155"/>
      <c r="C582" s="169"/>
      <c r="D582" s="155"/>
      <c r="E582" s="155"/>
      <c r="F582" s="224"/>
      <c r="G582" s="128"/>
      <c r="H582" s="179"/>
      <c r="I582" s="155"/>
    </row>
    <row r="583" spans="1:9">
      <c r="A583" s="226"/>
      <c r="B583" s="155"/>
      <c r="C583" s="169"/>
      <c r="D583" s="155"/>
      <c r="E583" s="155"/>
      <c r="F583" s="224"/>
      <c r="G583" s="128"/>
      <c r="H583" s="179"/>
      <c r="I583" s="155"/>
    </row>
    <row r="584" spans="1:9">
      <c r="A584" s="226"/>
      <c r="B584" s="155"/>
      <c r="C584" s="169"/>
      <c r="D584" s="155"/>
      <c r="E584" s="155"/>
      <c r="F584" s="224"/>
      <c r="G584" s="128"/>
      <c r="H584" s="179"/>
      <c r="I584" s="155"/>
    </row>
    <row r="585" spans="1:9">
      <c r="A585" s="226"/>
      <c r="B585" s="155"/>
      <c r="C585" s="169"/>
      <c r="D585" s="155"/>
      <c r="E585" s="155"/>
      <c r="F585" s="224"/>
      <c r="G585" s="128"/>
      <c r="H585" s="179"/>
      <c r="I585" s="155"/>
    </row>
    <row r="586" spans="1:9">
      <c r="A586" s="226"/>
      <c r="B586" s="155"/>
      <c r="C586" s="169"/>
      <c r="D586" s="155"/>
      <c r="E586" s="155"/>
      <c r="F586" s="224"/>
      <c r="G586" s="128"/>
      <c r="H586" s="179"/>
      <c r="I586" s="155"/>
    </row>
    <row r="587" spans="1:9">
      <c r="A587" s="226"/>
      <c r="B587" s="155"/>
      <c r="C587" s="169"/>
      <c r="D587" s="155"/>
      <c r="E587" s="155"/>
      <c r="F587" s="224"/>
      <c r="G587" s="128"/>
      <c r="H587" s="179"/>
      <c r="I587" s="155"/>
    </row>
    <row r="588" spans="1:9">
      <c r="A588" s="226"/>
      <c r="B588" s="155"/>
      <c r="C588" s="169"/>
      <c r="D588" s="155"/>
      <c r="E588" s="155"/>
      <c r="F588" s="224"/>
      <c r="G588" s="128"/>
      <c r="H588" s="179"/>
      <c r="I588" s="155"/>
    </row>
    <row r="589" spans="1:9">
      <c r="A589" s="226"/>
      <c r="B589" s="155"/>
      <c r="C589" s="169"/>
      <c r="D589" s="155"/>
      <c r="E589" s="155"/>
      <c r="F589" s="224"/>
      <c r="G589" s="128"/>
      <c r="H589" s="179"/>
      <c r="I589" s="155"/>
    </row>
    <row r="590" spans="1:9">
      <c r="A590" s="226"/>
      <c r="B590" s="155"/>
      <c r="C590" s="169"/>
      <c r="D590" s="155"/>
      <c r="E590" s="155"/>
      <c r="F590" s="224"/>
      <c r="G590" s="128"/>
      <c r="H590" s="179"/>
      <c r="I590" s="155"/>
    </row>
    <row r="591" spans="1:9">
      <c r="A591" s="226"/>
      <c r="B591" s="155"/>
      <c r="C591" s="169"/>
      <c r="D591" s="155"/>
      <c r="E591" s="155"/>
      <c r="F591" s="224"/>
      <c r="G591" s="128"/>
      <c r="H591" s="179"/>
      <c r="I591" s="155"/>
    </row>
    <row r="592" spans="1:9">
      <c r="A592" s="226"/>
      <c r="B592" s="155"/>
      <c r="C592" s="169"/>
      <c r="D592" s="155"/>
      <c r="E592" s="155"/>
      <c r="F592" s="224"/>
      <c r="G592" s="128"/>
      <c r="H592" s="179"/>
      <c r="I592" s="155"/>
    </row>
    <row r="593" spans="1:9">
      <c r="A593" s="226"/>
      <c r="B593" s="155"/>
      <c r="C593" s="169"/>
      <c r="D593" s="155"/>
      <c r="E593" s="155"/>
      <c r="F593" s="224"/>
      <c r="G593" s="128"/>
      <c r="H593" s="179"/>
      <c r="I593" s="155"/>
    </row>
    <row r="594" spans="1:9">
      <c r="A594" s="226"/>
      <c r="B594" s="155"/>
      <c r="C594" s="225"/>
      <c r="D594" s="155"/>
      <c r="E594" s="155"/>
      <c r="F594" s="224"/>
      <c r="G594" s="128"/>
      <c r="H594" s="179"/>
      <c r="I594" s="155"/>
    </row>
    <row r="595" spans="1:9">
      <c r="A595" s="226"/>
      <c r="B595" s="155"/>
      <c r="C595" s="225"/>
      <c r="D595" s="155"/>
      <c r="E595" s="155"/>
      <c r="F595" s="224"/>
      <c r="G595" s="128"/>
      <c r="H595" s="179"/>
      <c r="I595" s="155"/>
    </row>
    <row r="596" spans="1:9">
      <c r="A596" s="226"/>
      <c r="B596" s="155"/>
      <c r="C596" s="169"/>
      <c r="D596" s="155"/>
      <c r="E596" s="155"/>
      <c r="F596" s="224"/>
      <c r="G596" s="128"/>
      <c r="H596" s="179"/>
      <c r="I596" s="155"/>
    </row>
    <row r="597" spans="1:9">
      <c r="A597" s="226"/>
      <c r="B597" s="155"/>
      <c r="C597" s="169"/>
      <c r="D597" s="155"/>
      <c r="E597" s="155"/>
      <c r="F597" s="224"/>
      <c r="G597" s="128"/>
      <c r="H597" s="179"/>
      <c r="I597" s="155"/>
    </row>
    <row r="598" spans="1:9">
      <c r="A598" s="226"/>
      <c r="B598" s="155"/>
      <c r="C598" s="169"/>
      <c r="D598" s="155"/>
      <c r="E598" s="155"/>
      <c r="F598" s="224"/>
      <c r="G598" s="128"/>
      <c r="H598" s="179"/>
      <c r="I598" s="155"/>
    </row>
    <row r="599" spans="1:9">
      <c r="A599" s="226"/>
      <c r="B599" s="155"/>
      <c r="C599" s="169"/>
      <c r="D599" s="155"/>
      <c r="E599" s="155"/>
      <c r="F599" s="224"/>
      <c r="G599" s="128"/>
      <c r="H599" s="179"/>
      <c r="I599" s="155"/>
    </row>
    <row r="600" spans="1:9">
      <c r="A600" s="226"/>
      <c r="B600" s="155"/>
      <c r="C600" s="169"/>
      <c r="D600" s="155"/>
      <c r="E600" s="155"/>
      <c r="F600" s="224"/>
      <c r="G600" s="128"/>
      <c r="H600" s="179"/>
      <c r="I600" s="155"/>
    </row>
    <row r="601" spans="1:9">
      <c r="A601" s="226"/>
      <c r="B601" s="155"/>
      <c r="C601" s="169"/>
      <c r="D601" s="155"/>
      <c r="E601" s="155"/>
      <c r="F601" s="224"/>
      <c r="G601" s="128"/>
      <c r="H601" s="179"/>
      <c r="I601" s="155"/>
    </row>
    <row r="602" spans="1:9">
      <c r="A602" s="226"/>
      <c r="B602" s="155"/>
      <c r="C602" s="169"/>
      <c r="D602" s="155"/>
      <c r="E602" s="155"/>
      <c r="F602" s="224"/>
      <c r="G602" s="128"/>
      <c r="H602" s="179"/>
      <c r="I602" s="155"/>
    </row>
    <row r="603" spans="1:9">
      <c r="A603" s="226"/>
      <c r="B603" s="155"/>
      <c r="C603" s="169"/>
      <c r="D603" s="155"/>
      <c r="E603" s="155"/>
      <c r="F603" s="224"/>
      <c r="G603" s="128"/>
      <c r="H603" s="179"/>
      <c r="I603" s="155"/>
    </row>
    <row r="604" spans="1:9">
      <c r="A604" s="226"/>
      <c r="B604" s="155"/>
      <c r="C604" s="169"/>
      <c r="D604" s="155"/>
      <c r="E604" s="155"/>
      <c r="F604" s="224"/>
      <c r="G604" s="128"/>
      <c r="H604" s="179"/>
      <c r="I604" s="155"/>
    </row>
    <row r="605" spans="1:9">
      <c r="A605" s="226"/>
      <c r="B605" s="155"/>
      <c r="C605" s="169"/>
      <c r="D605" s="155"/>
      <c r="E605" s="155"/>
      <c r="F605" s="224"/>
      <c r="G605" s="128"/>
      <c r="H605" s="179"/>
      <c r="I605" s="155"/>
    </row>
    <row r="606" spans="1:9">
      <c r="A606" s="226"/>
      <c r="B606" s="155"/>
      <c r="C606" s="169"/>
      <c r="D606" s="155"/>
      <c r="E606" s="155"/>
      <c r="F606" s="224"/>
      <c r="G606" s="128"/>
      <c r="H606" s="179"/>
      <c r="I606" s="155"/>
    </row>
    <row r="607" spans="1:9">
      <c r="A607" s="226"/>
      <c r="B607" s="155"/>
      <c r="C607" s="169"/>
      <c r="D607" s="155"/>
      <c r="E607" s="155"/>
      <c r="F607" s="224"/>
      <c r="G607" s="128"/>
      <c r="H607" s="179"/>
      <c r="I607" s="155"/>
    </row>
    <row r="608" spans="1:9">
      <c r="A608" s="226"/>
      <c r="B608" s="155"/>
      <c r="C608" s="169"/>
      <c r="D608" s="155"/>
      <c r="E608" s="155"/>
      <c r="F608" s="224"/>
      <c r="G608" s="128"/>
      <c r="H608" s="179"/>
      <c r="I608" s="155"/>
    </row>
    <row r="609" spans="1:9">
      <c r="A609" s="226"/>
      <c r="B609" s="155"/>
      <c r="C609" s="169"/>
      <c r="D609" s="155"/>
      <c r="E609" s="155"/>
      <c r="F609" s="224"/>
      <c r="G609" s="128"/>
      <c r="H609" s="179"/>
      <c r="I609" s="155"/>
    </row>
    <row r="610" spans="1:9">
      <c r="A610" s="226"/>
      <c r="B610" s="155"/>
      <c r="C610" s="169"/>
      <c r="D610" s="155"/>
      <c r="E610" s="155"/>
      <c r="F610" s="224"/>
      <c r="G610" s="128"/>
      <c r="H610" s="179"/>
      <c r="I610" s="155"/>
    </row>
    <row r="611" spans="1:9">
      <c r="A611" s="226"/>
      <c r="B611" s="155"/>
      <c r="C611" s="169"/>
      <c r="D611" s="155"/>
      <c r="E611" s="155"/>
      <c r="F611" s="224"/>
      <c r="G611" s="128"/>
      <c r="H611" s="179"/>
      <c r="I611" s="155"/>
    </row>
    <row r="612" spans="1:9">
      <c r="A612" s="226"/>
      <c r="B612" s="155"/>
      <c r="C612" s="169"/>
      <c r="D612" s="155"/>
      <c r="E612" s="155"/>
      <c r="F612" s="224"/>
      <c r="G612" s="128"/>
      <c r="H612" s="179"/>
      <c r="I612" s="155"/>
    </row>
    <row r="613" spans="1:9">
      <c r="A613" s="226"/>
      <c r="B613" s="155"/>
      <c r="C613" s="169"/>
      <c r="D613" s="155"/>
      <c r="E613" s="155"/>
      <c r="F613" s="224"/>
      <c r="G613" s="128"/>
      <c r="H613" s="179"/>
      <c r="I613" s="155"/>
    </row>
    <row r="614" spans="1:9">
      <c r="A614" s="226"/>
      <c r="B614" s="155"/>
      <c r="C614" s="169"/>
      <c r="D614" s="155"/>
      <c r="E614" s="155"/>
      <c r="F614" s="224"/>
      <c r="G614" s="128"/>
      <c r="H614" s="179"/>
      <c r="I614" s="155"/>
    </row>
    <row r="615" spans="1:9">
      <c r="A615" s="226"/>
      <c r="B615" s="155"/>
      <c r="C615" s="169"/>
      <c r="D615" s="155"/>
      <c r="E615" s="155"/>
      <c r="F615" s="224"/>
      <c r="G615" s="128"/>
      <c r="H615" s="179"/>
      <c r="I615" s="155"/>
    </row>
    <row r="616" spans="1:9">
      <c r="A616" s="226"/>
      <c r="B616" s="155"/>
      <c r="C616" s="169"/>
      <c r="D616" s="155"/>
      <c r="E616" s="155"/>
      <c r="F616" s="224"/>
      <c r="G616" s="128"/>
      <c r="H616" s="179"/>
      <c r="I616" s="155"/>
    </row>
    <row r="617" spans="1:9">
      <c r="A617" s="226"/>
      <c r="B617" s="155"/>
      <c r="C617" s="169"/>
      <c r="D617" s="155"/>
      <c r="E617" s="155"/>
      <c r="F617" s="224"/>
      <c r="G617" s="128"/>
      <c r="H617" s="179"/>
      <c r="I617" s="155"/>
    </row>
    <row r="618" spans="1:9">
      <c r="A618" s="226"/>
      <c r="B618" s="155"/>
      <c r="C618" s="169"/>
      <c r="D618" s="155"/>
      <c r="E618" s="155"/>
      <c r="F618" s="224"/>
      <c r="G618" s="128"/>
      <c r="H618" s="179"/>
      <c r="I618" s="155"/>
    </row>
    <row r="619" spans="1:9">
      <c r="A619" s="226"/>
      <c r="B619" s="155"/>
      <c r="C619" s="169"/>
      <c r="D619" s="155"/>
      <c r="E619" s="155"/>
      <c r="F619" s="224"/>
      <c r="G619" s="128"/>
      <c r="H619" s="179"/>
      <c r="I619" s="155"/>
    </row>
    <row r="620" spans="1:9">
      <c r="A620" s="226"/>
      <c r="B620" s="155"/>
      <c r="C620" s="169"/>
      <c r="D620" s="155"/>
      <c r="E620" s="155"/>
      <c r="F620" s="224"/>
      <c r="G620" s="128"/>
      <c r="H620" s="179"/>
      <c r="I620" s="155"/>
    </row>
    <row r="621" spans="1:9">
      <c r="A621" s="226"/>
      <c r="B621" s="155"/>
      <c r="C621" s="169"/>
      <c r="D621" s="155"/>
      <c r="E621" s="155"/>
      <c r="F621" s="224"/>
      <c r="G621" s="128"/>
      <c r="H621" s="179"/>
      <c r="I621" s="155"/>
    </row>
    <row r="622" spans="1:9">
      <c r="A622" s="226"/>
      <c r="B622" s="155"/>
      <c r="C622" s="169"/>
      <c r="D622" s="155"/>
      <c r="E622" s="155"/>
      <c r="F622" s="224"/>
      <c r="G622" s="128"/>
      <c r="H622" s="179"/>
      <c r="I622" s="155"/>
    </row>
    <row r="623" spans="1:9">
      <c r="A623" s="226"/>
      <c r="B623" s="155"/>
      <c r="C623" s="169"/>
      <c r="D623" s="155"/>
      <c r="E623" s="155"/>
      <c r="F623" s="224"/>
      <c r="G623" s="128"/>
      <c r="H623" s="179"/>
      <c r="I623" s="155"/>
    </row>
    <row r="624" spans="1:9">
      <c r="A624" s="226"/>
      <c r="B624" s="155"/>
      <c r="C624" s="169"/>
      <c r="D624" s="155"/>
      <c r="E624" s="155"/>
      <c r="F624" s="224"/>
      <c r="G624" s="128"/>
      <c r="H624" s="179"/>
      <c r="I624" s="155"/>
    </row>
    <row r="625" spans="1:9">
      <c r="A625" s="226"/>
      <c r="B625" s="155"/>
      <c r="C625" s="169"/>
      <c r="D625" s="155"/>
      <c r="E625" s="155"/>
      <c r="F625" s="224"/>
      <c r="G625" s="128"/>
      <c r="H625" s="179"/>
      <c r="I625" s="155"/>
    </row>
    <row r="626" spans="1:9">
      <c r="A626" s="226"/>
      <c r="B626" s="155"/>
      <c r="C626" s="169"/>
      <c r="D626" s="155"/>
      <c r="E626" s="155"/>
      <c r="F626" s="224"/>
      <c r="G626" s="128"/>
      <c r="H626" s="179"/>
      <c r="I626" s="155"/>
    </row>
    <row r="627" spans="1:9">
      <c r="A627" s="226"/>
      <c r="B627" s="155"/>
      <c r="C627" s="169"/>
      <c r="D627" s="155"/>
      <c r="E627" s="155"/>
      <c r="F627" s="224"/>
      <c r="G627" s="128"/>
      <c r="H627" s="179"/>
      <c r="I627" s="155"/>
    </row>
    <row r="628" spans="1:9">
      <c r="A628" s="226"/>
      <c r="B628" s="155"/>
      <c r="C628" s="169"/>
      <c r="D628" s="155"/>
      <c r="E628" s="155"/>
      <c r="F628" s="224"/>
      <c r="G628" s="128"/>
      <c r="H628" s="179"/>
      <c r="I628" s="155"/>
    </row>
    <row r="629" spans="1:9">
      <c r="A629" s="226"/>
      <c r="B629" s="155"/>
      <c r="C629" s="169"/>
      <c r="D629" s="155"/>
      <c r="E629" s="155"/>
      <c r="F629" s="224"/>
      <c r="G629" s="128"/>
      <c r="H629" s="179"/>
      <c r="I629" s="155"/>
    </row>
    <row r="630" spans="1:9">
      <c r="A630" s="226"/>
      <c r="B630" s="155"/>
      <c r="C630" s="169"/>
      <c r="D630" s="155"/>
      <c r="E630" s="155"/>
      <c r="F630" s="224"/>
      <c r="G630" s="128"/>
      <c r="H630" s="179"/>
      <c r="I630" s="155"/>
    </row>
    <row r="631" spans="1:9">
      <c r="A631" s="226"/>
      <c r="B631" s="155"/>
      <c r="C631" s="169"/>
      <c r="D631" s="155"/>
      <c r="E631" s="155"/>
      <c r="F631" s="224"/>
      <c r="G631" s="128"/>
      <c r="H631" s="179"/>
      <c r="I631" s="155"/>
    </row>
    <row r="632" spans="1:9">
      <c r="A632" s="226"/>
      <c r="B632" s="155"/>
      <c r="C632" s="169"/>
      <c r="D632" s="155"/>
      <c r="E632" s="155"/>
      <c r="F632" s="224"/>
      <c r="G632" s="128"/>
      <c r="H632" s="179"/>
      <c r="I632" s="155"/>
    </row>
    <row r="633" spans="1:9">
      <c r="A633" s="226"/>
      <c r="B633" s="155"/>
      <c r="C633" s="169"/>
      <c r="D633" s="155"/>
      <c r="E633" s="155"/>
      <c r="F633" s="224"/>
      <c r="G633" s="128"/>
      <c r="H633" s="179"/>
      <c r="I633" s="155"/>
    </row>
    <row r="634" spans="1:9">
      <c r="A634" s="226"/>
      <c r="B634" s="155"/>
      <c r="C634" s="169"/>
      <c r="D634" s="155"/>
      <c r="E634" s="155"/>
      <c r="F634" s="224"/>
      <c r="G634" s="128"/>
      <c r="H634" s="179"/>
      <c r="I634" s="155"/>
    </row>
    <row r="635" spans="1:9">
      <c r="A635" s="226"/>
      <c r="B635" s="155"/>
      <c r="C635" s="169"/>
      <c r="D635" s="155"/>
      <c r="E635" s="155"/>
      <c r="F635" s="224"/>
      <c r="G635" s="128"/>
      <c r="H635" s="179"/>
      <c r="I635" s="155"/>
    </row>
    <row r="636" spans="1:9">
      <c r="A636" s="226"/>
      <c r="B636" s="155"/>
      <c r="C636" s="169"/>
      <c r="D636" s="155"/>
      <c r="E636" s="155"/>
      <c r="F636" s="224"/>
      <c r="G636" s="128"/>
      <c r="H636" s="179"/>
      <c r="I636" s="155"/>
    </row>
    <row r="637" spans="1:9">
      <c r="A637" s="226"/>
      <c r="B637" s="155"/>
      <c r="C637" s="169"/>
      <c r="D637" s="155"/>
      <c r="E637" s="155"/>
      <c r="F637" s="224"/>
      <c r="G637" s="128"/>
      <c r="H637" s="179"/>
      <c r="I637" s="155"/>
    </row>
    <row r="638" spans="1:9">
      <c r="A638" s="226"/>
      <c r="B638" s="155"/>
      <c r="C638" s="169"/>
      <c r="D638" s="155"/>
      <c r="E638" s="155"/>
      <c r="F638" s="224"/>
      <c r="G638" s="128"/>
      <c r="H638" s="179"/>
      <c r="I638" s="155"/>
    </row>
    <row r="639" spans="1:9">
      <c r="A639" s="226"/>
      <c r="B639" s="155"/>
      <c r="C639" s="169"/>
      <c r="D639" s="155"/>
      <c r="E639" s="155"/>
      <c r="F639" s="224"/>
      <c r="G639" s="128"/>
      <c r="H639" s="179"/>
      <c r="I639" s="155"/>
    </row>
    <row r="640" spans="1:9">
      <c r="A640" s="226"/>
      <c r="B640" s="155"/>
      <c r="C640" s="169"/>
      <c r="D640" s="155"/>
      <c r="E640" s="155"/>
      <c r="F640" s="224"/>
      <c r="G640" s="128"/>
      <c r="H640" s="179"/>
      <c r="I640" s="155"/>
    </row>
    <row r="641" spans="1:9">
      <c r="A641" s="226"/>
      <c r="B641" s="155"/>
      <c r="C641" s="169"/>
      <c r="D641" s="155"/>
      <c r="E641" s="155"/>
      <c r="F641" s="224"/>
      <c r="G641" s="128"/>
      <c r="H641" s="179"/>
      <c r="I641" s="155"/>
    </row>
    <row r="642" spans="1:9">
      <c r="A642" s="226"/>
      <c r="B642" s="155"/>
      <c r="C642" s="169"/>
      <c r="D642" s="155"/>
      <c r="E642" s="155"/>
      <c r="F642" s="224"/>
      <c r="G642" s="128"/>
      <c r="H642" s="179"/>
      <c r="I642" s="155"/>
    </row>
    <row r="643" spans="1:9">
      <c r="A643" s="226"/>
      <c r="B643" s="155"/>
      <c r="C643" s="169"/>
      <c r="D643" s="155"/>
      <c r="E643" s="155"/>
      <c r="F643" s="224"/>
      <c r="G643" s="128"/>
      <c r="H643" s="179"/>
      <c r="I643" s="155"/>
    </row>
    <row r="644" spans="1:9">
      <c r="A644" s="226"/>
      <c r="B644" s="155"/>
      <c r="C644" s="169"/>
      <c r="D644" s="155"/>
      <c r="E644" s="155"/>
      <c r="F644" s="224"/>
      <c r="G644" s="128"/>
      <c r="H644" s="179"/>
      <c r="I644" s="155"/>
    </row>
    <row r="645" spans="1:9">
      <c r="A645" s="226"/>
      <c r="B645" s="155"/>
      <c r="C645" s="169"/>
      <c r="D645" s="155"/>
      <c r="E645" s="155"/>
      <c r="F645" s="224"/>
      <c r="G645" s="128"/>
      <c r="H645" s="179"/>
      <c r="I645" s="155"/>
    </row>
    <row r="646" spans="1:9">
      <c r="A646" s="226"/>
      <c r="B646" s="155"/>
      <c r="C646" s="169"/>
      <c r="D646" s="155"/>
      <c r="E646" s="155"/>
      <c r="F646" s="224"/>
      <c r="G646" s="128"/>
      <c r="H646" s="179"/>
      <c r="I646" s="155"/>
    </row>
    <row r="647" spans="1:9">
      <c r="A647" s="226"/>
      <c r="B647" s="155"/>
      <c r="C647" s="169"/>
      <c r="D647" s="155"/>
      <c r="E647" s="155"/>
      <c r="F647" s="224"/>
      <c r="G647" s="128"/>
      <c r="H647" s="179"/>
      <c r="I647" s="155"/>
    </row>
    <row r="648" spans="1:9">
      <c r="A648" s="226"/>
      <c r="B648" s="155"/>
      <c r="C648" s="169"/>
      <c r="D648" s="155"/>
      <c r="E648" s="155"/>
      <c r="F648" s="224"/>
      <c r="G648" s="128"/>
      <c r="H648" s="179"/>
      <c r="I648" s="155"/>
    </row>
    <row r="649" spans="1:9">
      <c r="A649" s="226"/>
      <c r="B649" s="155"/>
      <c r="C649" s="169"/>
      <c r="D649" s="155"/>
      <c r="E649" s="155"/>
      <c r="F649" s="224"/>
      <c r="G649" s="128"/>
      <c r="H649" s="179"/>
      <c r="I649" s="155"/>
    </row>
    <row r="650" spans="1:9">
      <c r="A650" s="226"/>
      <c r="B650" s="155"/>
      <c r="C650" s="169"/>
      <c r="D650" s="155"/>
      <c r="E650" s="155"/>
      <c r="F650" s="224"/>
      <c r="G650" s="128"/>
      <c r="H650" s="179"/>
      <c r="I650" s="155"/>
    </row>
    <row r="651" spans="1:9">
      <c r="A651" s="226"/>
      <c r="B651" s="155"/>
      <c r="C651" s="169"/>
      <c r="D651" s="155"/>
      <c r="E651" s="155"/>
      <c r="F651" s="224"/>
      <c r="G651" s="128"/>
      <c r="H651" s="179"/>
      <c r="I651" s="155"/>
    </row>
    <row r="652" spans="1:9">
      <c r="A652" s="226"/>
      <c r="B652" s="155"/>
      <c r="C652" s="169"/>
      <c r="D652" s="155"/>
      <c r="E652" s="155"/>
      <c r="F652" s="224"/>
      <c r="G652" s="128"/>
      <c r="H652" s="179"/>
      <c r="I652" s="155"/>
    </row>
    <row r="653" spans="1:9">
      <c r="A653" s="226"/>
      <c r="B653" s="155"/>
      <c r="C653" s="169"/>
      <c r="D653" s="155"/>
      <c r="E653" s="155"/>
      <c r="F653" s="224"/>
      <c r="G653" s="128"/>
      <c r="H653" s="179"/>
      <c r="I653" s="155"/>
    </row>
    <row r="654" spans="1:9">
      <c r="A654" s="226"/>
      <c r="B654" s="155"/>
      <c r="C654" s="169"/>
      <c r="D654" s="155"/>
      <c r="E654" s="155"/>
      <c r="F654" s="224"/>
      <c r="G654" s="128"/>
      <c r="H654" s="179"/>
      <c r="I654" s="155"/>
    </row>
    <row r="655" spans="1:9">
      <c r="A655" s="226"/>
      <c r="B655" s="155"/>
      <c r="C655" s="169"/>
      <c r="D655" s="155"/>
      <c r="E655" s="155"/>
      <c r="F655" s="224"/>
      <c r="G655" s="128"/>
      <c r="H655" s="179"/>
      <c r="I655" s="155"/>
    </row>
    <row r="656" spans="1:9">
      <c r="A656" s="226"/>
      <c r="B656" s="155"/>
      <c r="C656" s="169"/>
      <c r="D656" s="155"/>
      <c r="E656" s="155"/>
      <c r="F656" s="224"/>
      <c r="G656" s="128"/>
      <c r="H656" s="179"/>
      <c r="I656" s="155"/>
    </row>
    <row r="657" spans="1:9">
      <c r="A657" s="226"/>
      <c r="B657" s="155"/>
      <c r="C657" s="169"/>
      <c r="D657" s="155"/>
      <c r="E657" s="155"/>
      <c r="F657" s="224"/>
      <c r="G657" s="128"/>
      <c r="H657" s="179"/>
      <c r="I657" s="155"/>
    </row>
    <row r="658" spans="1:9">
      <c r="A658" s="226"/>
      <c r="B658" s="155"/>
      <c r="C658" s="169"/>
      <c r="D658" s="155"/>
      <c r="E658" s="155"/>
      <c r="F658" s="224"/>
      <c r="G658" s="128"/>
      <c r="H658" s="179"/>
      <c r="I658" s="155"/>
    </row>
    <row r="659" spans="1:9">
      <c r="A659" s="226"/>
      <c r="B659" s="155"/>
      <c r="C659" s="169"/>
      <c r="D659" s="155"/>
      <c r="E659" s="155"/>
      <c r="F659" s="224"/>
      <c r="G659" s="128"/>
      <c r="H659" s="179"/>
      <c r="I659" s="155"/>
    </row>
    <row r="660" spans="1:9">
      <c r="A660" s="226"/>
      <c r="B660" s="155"/>
      <c r="C660" s="169"/>
      <c r="D660" s="155"/>
      <c r="E660" s="155"/>
      <c r="F660" s="224"/>
      <c r="G660" s="128"/>
      <c r="H660" s="179"/>
      <c r="I660" s="155"/>
    </row>
    <row r="661" spans="1:9">
      <c r="A661" s="226"/>
      <c r="B661" s="155"/>
      <c r="C661" s="169"/>
      <c r="D661" s="155"/>
      <c r="E661" s="155"/>
      <c r="F661" s="224"/>
      <c r="G661" s="128"/>
      <c r="H661" s="179"/>
      <c r="I661" s="155"/>
    </row>
    <row r="662" spans="1:9">
      <c r="A662" s="226"/>
      <c r="B662" s="155"/>
      <c r="C662" s="169"/>
      <c r="D662" s="155"/>
      <c r="E662" s="155"/>
      <c r="F662" s="224"/>
      <c r="G662" s="128"/>
      <c r="H662" s="179"/>
      <c r="I662" s="155"/>
    </row>
    <row r="663" spans="1:9">
      <c r="A663" s="226"/>
      <c r="B663" s="155"/>
      <c r="C663" s="169"/>
      <c r="D663" s="155"/>
      <c r="E663" s="155"/>
      <c r="F663" s="224"/>
      <c r="G663" s="128"/>
      <c r="H663" s="179"/>
      <c r="I663" s="155"/>
    </row>
    <row r="664" spans="1:9">
      <c r="A664" s="226"/>
      <c r="B664" s="155"/>
      <c r="C664" s="169"/>
      <c r="D664" s="155"/>
      <c r="E664" s="155"/>
      <c r="F664" s="224"/>
      <c r="G664" s="128"/>
      <c r="H664" s="179"/>
      <c r="I664" s="155"/>
    </row>
    <row r="665" spans="1:9">
      <c r="A665" s="226"/>
      <c r="B665" s="155"/>
      <c r="C665" s="169"/>
      <c r="D665" s="155"/>
      <c r="E665" s="155"/>
      <c r="F665" s="224"/>
      <c r="G665" s="128"/>
      <c r="H665" s="179"/>
      <c r="I665" s="155"/>
    </row>
    <row r="666" spans="1:9">
      <c r="A666" s="226"/>
      <c r="B666" s="155"/>
      <c r="C666" s="169"/>
      <c r="D666" s="155"/>
      <c r="E666" s="155"/>
      <c r="F666" s="224"/>
      <c r="G666" s="128"/>
      <c r="H666" s="179"/>
      <c r="I666" s="155"/>
    </row>
    <row r="667" spans="1:9">
      <c r="A667" s="226"/>
      <c r="B667" s="155"/>
      <c r="C667" s="169"/>
      <c r="D667" s="155"/>
      <c r="E667" s="155"/>
      <c r="F667" s="224"/>
      <c r="G667" s="128"/>
      <c r="H667" s="179"/>
      <c r="I667" s="155"/>
    </row>
    <row r="668" spans="1:9">
      <c r="A668" s="226"/>
      <c r="B668" s="155"/>
      <c r="C668" s="169"/>
      <c r="D668" s="155"/>
      <c r="E668" s="155"/>
      <c r="F668" s="224"/>
      <c r="G668" s="128"/>
      <c r="H668" s="179"/>
      <c r="I668" s="155"/>
    </row>
    <row r="669" spans="1:9">
      <c r="A669" s="226"/>
      <c r="B669" s="155"/>
      <c r="C669" s="169"/>
      <c r="D669" s="155"/>
      <c r="E669" s="155"/>
      <c r="F669" s="224"/>
      <c r="G669" s="128"/>
      <c r="H669" s="179"/>
      <c r="I669" s="155"/>
    </row>
    <row r="670" spans="1:9">
      <c r="A670" s="226"/>
      <c r="B670" s="155"/>
      <c r="C670" s="169"/>
      <c r="D670" s="155"/>
      <c r="E670" s="155"/>
      <c r="F670" s="224"/>
      <c r="G670" s="128"/>
      <c r="H670" s="179"/>
      <c r="I670" s="155"/>
    </row>
    <row r="671" spans="1:9">
      <c r="A671" s="226"/>
      <c r="B671" s="155"/>
      <c r="C671" s="169"/>
      <c r="D671" s="155"/>
      <c r="E671" s="155"/>
      <c r="F671" s="224"/>
      <c r="G671" s="128"/>
      <c r="H671" s="179"/>
      <c r="I671" s="155"/>
    </row>
    <row r="672" spans="1:9">
      <c r="A672" s="226"/>
      <c r="B672" s="155"/>
      <c r="C672" s="169"/>
      <c r="D672" s="155"/>
      <c r="E672" s="155"/>
      <c r="F672" s="224"/>
      <c r="G672" s="128"/>
      <c r="H672" s="179"/>
      <c r="I672" s="155"/>
    </row>
    <row r="673" spans="1:9">
      <c r="A673" s="226"/>
      <c r="B673" s="155"/>
      <c r="C673" s="169"/>
      <c r="D673" s="155"/>
      <c r="E673" s="155"/>
      <c r="F673" s="224"/>
      <c r="G673" s="128"/>
      <c r="H673" s="179"/>
      <c r="I673" s="155"/>
    </row>
    <row r="674" spans="1:9">
      <c r="A674" s="226"/>
      <c r="B674" s="155"/>
      <c r="C674" s="169"/>
      <c r="D674" s="155"/>
      <c r="E674" s="155"/>
      <c r="F674" s="224"/>
      <c r="G674" s="128"/>
      <c r="H674" s="179"/>
      <c r="I674" s="155"/>
    </row>
    <row r="675" spans="1:9">
      <c r="A675" s="226"/>
      <c r="B675" s="155"/>
      <c r="C675" s="169"/>
      <c r="D675" s="155"/>
      <c r="E675" s="155"/>
      <c r="F675" s="224"/>
      <c r="G675" s="128"/>
      <c r="H675" s="179"/>
      <c r="I675" s="155"/>
    </row>
    <row r="676" spans="1:9">
      <c r="A676" s="226"/>
      <c r="B676" s="155"/>
      <c r="C676" s="169"/>
      <c r="D676" s="155"/>
      <c r="E676" s="155"/>
      <c r="F676" s="224"/>
      <c r="G676" s="128"/>
      <c r="H676" s="179"/>
      <c r="I676" s="155"/>
    </row>
    <row r="677" spans="1:9">
      <c r="A677" s="226"/>
      <c r="B677" s="155"/>
      <c r="C677" s="169"/>
      <c r="D677" s="155"/>
      <c r="E677" s="155"/>
      <c r="F677" s="224"/>
      <c r="G677" s="128"/>
      <c r="H677" s="179"/>
      <c r="I677" s="155"/>
    </row>
    <row r="678" spans="1:9">
      <c r="A678" s="226"/>
      <c r="B678" s="155"/>
      <c r="C678" s="169"/>
      <c r="D678" s="155"/>
      <c r="E678" s="155"/>
      <c r="F678" s="224"/>
      <c r="G678" s="128"/>
      <c r="H678" s="179"/>
      <c r="I678" s="155"/>
    </row>
    <row r="679" spans="1:9">
      <c r="A679" s="226"/>
      <c r="B679" s="155"/>
      <c r="C679" s="169"/>
      <c r="D679" s="155"/>
      <c r="E679" s="155"/>
      <c r="F679" s="224"/>
      <c r="G679" s="128"/>
      <c r="H679" s="179"/>
      <c r="I679" s="155"/>
    </row>
    <row r="680" spans="1:9">
      <c r="A680" s="226"/>
      <c r="B680" s="155"/>
      <c r="C680" s="169"/>
      <c r="D680" s="155"/>
      <c r="E680" s="155"/>
      <c r="F680" s="224"/>
      <c r="G680" s="128"/>
      <c r="H680" s="179"/>
      <c r="I680" s="155"/>
    </row>
    <row r="681" spans="1:9">
      <c r="A681" s="226"/>
      <c r="B681" s="155"/>
      <c r="C681" s="169"/>
      <c r="D681" s="155"/>
      <c r="E681" s="155"/>
      <c r="F681" s="224"/>
      <c r="G681" s="128"/>
      <c r="H681" s="179"/>
      <c r="I681" s="155"/>
    </row>
    <row r="682" spans="1:9">
      <c r="A682" s="226"/>
      <c r="B682" s="155"/>
      <c r="C682" s="169"/>
      <c r="D682" s="155"/>
      <c r="E682" s="155"/>
      <c r="F682" s="224"/>
      <c r="G682" s="128"/>
      <c r="H682" s="179"/>
      <c r="I682" s="155"/>
    </row>
    <row r="683" spans="1:9">
      <c r="A683" s="226"/>
      <c r="B683" s="155"/>
      <c r="C683" s="169"/>
      <c r="D683" s="155"/>
      <c r="E683" s="155"/>
      <c r="F683" s="224"/>
      <c r="G683" s="128"/>
      <c r="H683" s="179"/>
      <c r="I683" s="155"/>
    </row>
    <row r="684" spans="1:9">
      <c r="A684" s="226"/>
      <c r="B684" s="155"/>
      <c r="C684" s="169"/>
      <c r="D684" s="155"/>
      <c r="E684" s="155"/>
      <c r="F684" s="224"/>
      <c r="G684" s="128"/>
      <c r="H684" s="179"/>
      <c r="I684" s="155"/>
    </row>
    <row r="685" spans="1:9">
      <c r="A685" s="226"/>
      <c r="B685" s="155"/>
      <c r="C685" s="169"/>
      <c r="D685" s="155"/>
      <c r="E685" s="155"/>
      <c r="F685" s="224"/>
      <c r="G685" s="128"/>
      <c r="H685" s="179"/>
      <c r="I685" s="155"/>
    </row>
    <row r="686" spans="1:9">
      <c r="A686" s="226"/>
      <c r="B686" s="155"/>
      <c r="C686" s="169"/>
      <c r="D686" s="155"/>
      <c r="E686" s="155"/>
      <c r="F686" s="224"/>
      <c r="G686" s="128"/>
      <c r="H686" s="179"/>
      <c r="I686" s="155"/>
    </row>
    <row r="687" spans="1:9">
      <c r="A687" s="226"/>
      <c r="B687" s="155"/>
      <c r="C687" s="169"/>
      <c r="D687" s="155"/>
      <c r="E687" s="155"/>
      <c r="F687" s="224"/>
      <c r="G687" s="128"/>
      <c r="H687" s="179"/>
      <c r="I687" s="155"/>
    </row>
    <row r="688" spans="1:9">
      <c r="A688" s="226"/>
      <c r="B688" s="155"/>
      <c r="C688" s="169"/>
      <c r="D688" s="155"/>
      <c r="E688" s="155"/>
      <c r="F688" s="224"/>
      <c r="G688" s="128"/>
      <c r="H688" s="179"/>
      <c r="I688" s="155"/>
    </row>
    <row r="689" spans="1:9">
      <c r="A689" s="226"/>
      <c r="B689" s="155"/>
      <c r="C689" s="169"/>
      <c r="D689" s="155"/>
      <c r="E689" s="155"/>
      <c r="F689" s="224"/>
      <c r="G689" s="128"/>
      <c r="H689" s="179"/>
      <c r="I689" s="155"/>
    </row>
    <row r="690" spans="1:9">
      <c r="A690" s="226"/>
      <c r="B690" s="155"/>
      <c r="C690" s="169"/>
      <c r="D690" s="155"/>
      <c r="E690" s="155"/>
      <c r="F690" s="224"/>
      <c r="G690" s="128"/>
      <c r="H690" s="179"/>
      <c r="I690" s="155"/>
    </row>
    <row r="691" spans="1:9">
      <c r="A691" s="226"/>
      <c r="B691" s="155"/>
      <c r="C691" s="169"/>
      <c r="D691" s="155"/>
      <c r="E691" s="155"/>
      <c r="F691" s="224"/>
      <c r="G691" s="128"/>
      <c r="H691" s="179"/>
      <c r="I691" s="155"/>
    </row>
    <row r="692" spans="1:9">
      <c r="A692" s="226"/>
      <c r="B692" s="155"/>
      <c r="C692" s="169"/>
      <c r="D692" s="155"/>
      <c r="E692" s="155"/>
      <c r="F692" s="224"/>
      <c r="G692" s="128"/>
      <c r="H692" s="179"/>
      <c r="I692" s="155"/>
    </row>
    <row r="693" spans="1:9">
      <c r="A693" s="226"/>
      <c r="B693" s="155"/>
      <c r="C693" s="169"/>
      <c r="D693" s="155"/>
      <c r="E693" s="155"/>
      <c r="F693" s="224"/>
      <c r="G693" s="128"/>
      <c r="H693" s="179"/>
      <c r="I693" s="155"/>
    </row>
    <row r="694" spans="1:9">
      <c r="A694" s="226"/>
      <c r="B694" s="155"/>
      <c r="C694" s="169"/>
      <c r="D694" s="155"/>
      <c r="E694" s="155"/>
      <c r="F694" s="224"/>
      <c r="G694" s="128"/>
      <c r="H694" s="179"/>
      <c r="I694" s="155"/>
    </row>
    <row r="695" spans="1:9">
      <c r="A695" s="226"/>
      <c r="B695" s="155"/>
      <c r="C695" s="169"/>
      <c r="D695" s="155"/>
      <c r="E695" s="155"/>
      <c r="F695" s="224"/>
      <c r="G695" s="128"/>
      <c r="H695" s="179"/>
      <c r="I695" s="155"/>
    </row>
    <row r="696" spans="1:9">
      <c r="A696" s="226"/>
      <c r="B696" s="155"/>
      <c r="C696" s="169"/>
      <c r="D696" s="155"/>
      <c r="E696" s="155"/>
      <c r="F696" s="224"/>
      <c r="G696" s="128"/>
      <c r="H696" s="179"/>
      <c r="I696" s="155"/>
    </row>
    <row r="697" spans="1:9">
      <c r="A697" s="226"/>
      <c r="B697" s="155"/>
      <c r="C697" s="169"/>
      <c r="D697" s="155"/>
      <c r="E697" s="155"/>
      <c r="F697" s="224"/>
      <c r="G697" s="128"/>
      <c r="H697" s="179"/>
      <c r="I697" s="155"/>
    </row>
    <row r="698" spans="1:9">
      <c r="A698" s="226"/>
      <c r="B698" s="155"/>
      <c r="C698" s="169"/>
      <c r="D698" s="155"/>
      <c r="E698" s="155"/>
      <c r="F698" s="224"/>
      <c r="G698" s="128"/>
      <c r="H698" s="179"/>
      <c r="I698" s="155"/>
    </row>
    <row r="699" spans="1:9">
      <c r="A699" s="226"/>
      <c r="B699" s="155"/>
      <c r="C699" s="169"/>
      <c r="D699" s="155"/>
      <c r="E699" s="155"/>
      <c r="F699" s="224"/>
      <c r="G699" s="128"/>
      <c r="H699" s="179"/>
      <c r="I699" s="155"/>
    </row>
    <row r="700" spans="1:9">
      <c r="A700" s="226"/>
      <c r="B700" s="155"/>
      <c r="C700" s="169"/>
      <c r="D700" s="155"/>
      <c r="E700" s="155"/>
      <c r="F700" s="224"/>
      <c r="G700" s="128"/>
      <c r="H700" s="179"/>
      <c r="I700" s="155"/>
    </row>
    <row r="701" spans="1:9">
      <c r="A701" s="226"/>
      <c r="B701" s="155"/>
      <c r="C701" s="169"/>
      <c r="D701" s="155"/>
      <c r="E701" s="155"/>
      <c r="F701" s="224"/>
      <c r="G701" s="128"/>
      <c r="H701" s="179"/>
      <c r="I701" s="155"/>
    </row>
    <row r="702" spans="1:9">
      <c r="A702" s="226"/>
      <c r="B702" s="155"/>
      <c r="C702" s="169"/>
      <c r="D702" s="155"/>
      <c r="E702" s="155"/>
      <c r="F702" s="224"/>
      <c r="G702" s="128"/>
      <c r="H702" s="179"/>
      <c r="I702" s="155"/>
    </row>
    <row r="703" spans="1:9">
      <c r="A703" s="226"/>
      <c r="B703" s="155"/>
      <c r="C703" s="169"/>
      <c r="D703" s="155"/>
      <c r="E703" s="155"/>
      <c r="F703" s="224"/>
      <c r="G703" s="128"/>
      <c r="H703" s="179"/>
      <c r="I703" s="155"/>
    </row>
    <row r="704" spans="1:9">
      <c r="A704" s="226"/>
      <c r="B704" s="155"/>
      <c r="C704" s="169"/>
      <c r="D704" s="155"/>
      <c r="E704" s="155"/>
      <c r="F704" s="224"/>
      <c r="G704" s="128"/>
      <c r="H704" s="179"/>
      <c r="I704" s="155"/>
    </row>
    <row r="705" spans="1:9">
      <c r="A705" s="226"/>
      <c r="B705" s="155"/>
      <c r="C705" s="169"/>
      <c r="D705" s="155"/>
      <c r="E705" s="155"/>
      <c r="F705" s="224"/>
      <c r="G705" s="128"/>
      <c r="H705" s="179"/>
      <c r="I705" s="155"/>
    </row>
    <row r="706" spans="1:9">
      <c r="A706" s="226"/>
      <c r="B706" s="155"/>
      <c r="C706" s="169"/>
      <c r="D706" s="155"/>
      <c r="E706" s="155"/>
      <c r="F706" s="224"/>
      <c r="G706" s="128"/>
      <c r="H706" s="179"/>
      <c r="I706" s="155"/>
    </row>
    <row r="707" spans="1:9">
      <c r="A707" s="226"/>
      <c r="B707" s="155"/>
      <c r="C707" s="169"/>
      <c r="D707" s="155"/>
      <c r="E707" s="155"/>
      <c r="F707" s="224"/>
      <c r="G707" s="128"/>
      <c r="H707" s="179"/>
      <c r="I707" s="155"/>
    </row>
    <row r="708" spans="1:9">
      <c r="A708" s="226"/>
      <c r="B708" s="155"/>
      <c r="C708" s="169"/>
      <c r="D708" s="155"/>
      <c r="E708" s="155"/>
      <c r="F708" s="224"/>
      <c r="G708" s="128"/>
      <c r="H708" s="179"/>
      <c r="I708" s="155"/>
    </row>
    <row r="709" spans="1:9">
      <c r="A709" s="226"/>
      <c r="B709" s="155"/>
      <c r="C709" s="169"/>
      <c r="D709" s="155"/>
      <c r="E709" s="155"/>
      <c r="F709" s="224"/>
      <c r="G709" s="128"/>
      <c r="H709" s="179"/>
      <c r="I709" s="155"/>
    </row>
    <row r="710" spans="1:9">
      <c r="A710" s="226"/>
      <c r="B710" s="155"/>
      <c r="C710" s="169"/>
      <c r="D710" s="155"/>
      <c r="E710" s="155"/>
      <c r="F710" s="224"/>
      <c r="G710" s="128"/>
      <c r="H710" s="179"/>
      <c r="I710" s="155"/>
    </row>
    <row r="711" spans="1:9">
      <c r="A711" s="226"/>
      <c r="B711" s="155"/>
      <c r="C711" s="169"/>
      <c r="D711" s="155"/>
      <c r="E711" s="155"/>
      <c r="F711" s="224"/>
      <c r="G711" s="128"/>
      <c r="H711" s="179"/>
      <c r="I711" s="155"/>
    </row>
    <row r="712" spans="1:9">
      <c r="A712" s="226"/>
      <c r="B712" s="155"/>
      <c r="C712" s="169"/>
      <c r="D712" s="155"/>
      <c r="E712" s="155"/>
      <c r="F712" s="224"/>
      <c r="G712" s="128"/>
      <c r="H712" s="179"/>
      <c r="I712" s="155"/>
    </row>
    <row r="713" spans="1:9">
      <c r="A713" s="226"/>
      <c r="B713" s="155"/>
      <c r="C713" s="169"/>
      <c r="D713" s="155"/>
      <c r="E713" s="155"/>
      <c r="F713" s="224"/>
      <c r="G713" s="128"/>
      <c r="H713" s="179"/>
      <c r="I713" s="155"/>
    </row>
    <row r="714" spans="1:9">
      <c r="A714" s="226"/>
      <c r="B714" s="155"/>
      <c r="C714" s="169"/>
      <c r="D714" s="155"/>
      <c r="E714" s="155"/>
      <c r="F714" s="224"/>
      <c r="G714" s="128"/>
      <c r="H714" s="179"/>
      <c r="I714" s="155"/>
    </row>
    <row r="715" spans="1:9">
      <c r="A715" s="226"/>
      <c r="B715" s="155"/>
      <c r="C715" s="169"/>
      <c r="D715" s="155"/>
      <c r="E715" s="155"/>
      <c r="F715" s="224"/>
      <c r="G715" s="128"/>
      <c r="H715" s="179"/>
      <c r="I715" s="155"/>
    </row>
    <row r="716" spans="1:9">
      <c r="A716" s="226"/>
      <c r="B716" s="155"/>
      <c r="C716" s="169"/>
      <c r="D716" s="155"/>
      <c r="E716" s="155"/>
      <c r="F716" s="224"/>
      <c r="G716" s="128"/>
      <c r="H716" s="179"/>
      <c r="I716" s="155"/>
    </row>
    <row r="717" spans="1:9">
      <c r="A717" s="226"/>
      <c r="B717" s="155"/>
      <c r="C717" s="169"/>
      <c r="D717" s="155"/>
      <c r="E717" s="155"/>
      <c r="F717" s="224"/>
      <c r="G717" s="128"/>
      <c r="H717" s="179"/>
      <c r="I717" s="155"/>
    </row>
    <row r="718" spans="1:9">
      <c r="A718" s="226"/>
      <c r="B718" s="155"/>
      <c r="C718" s="169"/>
      <c r="D718" s="155"/>
      <c r="E718" s="155"/>
      <c r="F718" s="224"/>
      <c r="G718" s="128"/>
      <c r="H718" s="179"/>
      <c r="I718" s="155"/>
    </row>
    <row r="719" spans="1:9">
      <c r="A719" s="226"/>
      <c r="B719" s="155"/>
      <c r="C719" s="169"/>
      <c r="D719" s="155"/>
      <c r="E719" s="155"/>
      <c r="F719" s="224"/>
      <c r="G719" s="128"/>
      <c r="H719" s="179"/>
      <c r="I719" s="155"/>
    </row>
    <row r="720" spans="1:9">
      <c r="A720" s="226"/>
      <c r="B720" s="155"/>
      <c r="C720" s="169"/>
      <c r="D720" s="155"/>
      <c r="E720" s="155"/>
      <c r="F720" s="224"/>
      <c r="G720" s="128"/>
      <c r="H720" s="179"/>
      <c r="I720" s="155"/>
    </row>
    <row r="721" spans="1:9">
      <c r="A721" s="226"/>
      <c r="B721" s="155"/>
      <c r="C721" s="169"/>
      <c r="D721" s="155"/>
      <c r="E721" s="155"/>
      <c r="G721" s="128"/>
      <c r="H721" s="179"/>
      <c r="I721" s="155"/>
    </row>
    <row r="722" spans="1:9">
      <c r="A722" s="226"/>
      <c r="B722" s="155"/>
      <c r="C722" s="169"/>
      <c r="D722" s="155"/>
      <c r="E722" s="155"/>
      <c r="F722" s="224"/>
      <c r="G722" s="128"/>
      <c r="H722" s="179"/>
      <c r="I722" s="155"/>
    </row>
    <row r="723" spans="1:9">
      <c r="A723" s="226"/>
      <c r="B723" s="155"/>
      <c r="C723" s="169"/>
      <c r="D723" s="155"/>
      <c r="E723" s="155"/>
      <c r="F723" s="224"/>
      <c r="G723" s="128"/>
      <c r="H723" s="179"/>
      <c r="I723" s="155"/>
    </row>
    <row r="724" spans="1:9">
      <c r="A724" s="226"/>
      <c r="B724" s="155"/>
      <c r="C724" s="169"/>
      <c r="D724" s="155"/>
      <c r="E724" s="155"/>
      <c r="F724" s="224"/>
      <c r="G724" s="128"/>
      <c r="H724" s="179"/>
      <c r="I724" s="155"/>
    </row>
    <row r="725" spans="1:9">
      <c r="A725" s="226"/>
      <c r="B725" s="155"/>
      <c r="C725" s="169"/>
      <c r="D725" s="155"/>
      <c r="E725" s="155"/>
      <c r="F725" s="224"/>
      <c r="G725" s="128"/>
      <c r="H725" s="179"/>
      <c r="I725" s="155"/>
    </row>
    <row r="726" spans="1:9">
      <c r="A726" s="226"/>
      <c r="B726" s="155"/>
      <c r="C726" s="169"/>
      <c r="D726" s="155"/>
      <c r="E726" s="155"/>
      <c r="F726" s="224"/>
      <c r="G726" s="128"/>
      <c r="H726" s="179"/>
      <c r="I726" s="155"/>
    </row>
    <row r="727" spans="1:9">
      <c r="A727" s="226"/>
      <c r="B727" s="155"/>
      <c r="C727" s="169"/>
      <c r="D727" s="155"/>
      <c r="E727" s="155"/>
      <c r="F727" s="224"/>
      <c r="G727" s="128"/>
      <c r="H727" s="179"/>
      <c r="I727" s="155"/>
    </row>
    <row r="728" spans="1:9">
      <c r="A728" s="226"/>
      <c r="B728" s="155"/>
      <c r="C728" s="169"/>
      <c r="D728" s="155"/>
      <c r="E728" s="155"/>
      <c r="F728" s="224"/>
      <c r="G728" s="128"/>
      <c r="H728" s="179"/>
      <c r="I728" s="155"/>
    </row>
    <row r="729" spans="1:9">
      <c r="A729" s="226"/>
      <c r="B729" s="155"/>
      <c r="C729" s="169"/>
      <c r="D729" s="155"/>
      <c r="E729" s="155"/>
      <c r="F729" s="224"/>
      <c r="G729" s="128"/>
      <c r="H729" s="179"/>
      <c r="I729" s="155"/>
    </row>
    <row r="730" spans="1:9">
      <c r="A730" s="226"/>
      <c r="B730" s="155"/>
      <c r="C730" s="169"/>
      <c r="D730" s="155"/>
      <c r="E730" s="155"/>
      <c r="F730" s="224"/>
      <c r="G730" s="128"/>
      <c r="H730" s="179"/>
      <c r="I730" s="155"/>
    </row>
    <row r="731" spans="1:9">
      <c r="A731" s="226"/>
      <c r="B731" s="155"/>
      <c r="C731" s="169"/>
      <c r="D731" s="155"/>
      <c r="E731" s="155"/>
      <c r="F731" s="224"/>
      <c r="G731" s="128"/>
      <c r="H731" s="179"/>
      <c r="I731" s="155"/>
    </row>
    <row r="732" spans="1:9">
      <c r="A732" s="226"/>
      <c r="B732" s="155"/>
      <c r="C732" s="169"/>
      <c r="D732" s="155"/>
      <c r="E732" s="155"/>
      <c r="F732" s="224"/>
      <c r="G732" s="128"/>
      <c r="H732" s="179"/>
      <c r="I732" s="155"/>
    </row>
    <row r="733" spans="1:9">
      <c r="A733" s="226"/>
      <c r="B733" s="155"/>
      <c r="C733" s="169"/>
      <c r="D733" s="155"/>
      <c r="E733" s="155"/>
      <c r="F733" s="224"/>
      <c r="G733" s="128"/>
      <c r="H733" s="179"/>
      <c r="I733" s="155"/>
    </row>
    <row r="734" spans="1:9">
      <c r="A734" s="226"/>
      <c r="B734" s="155"/>
      <c r="C734" s="169"/>
      <c r="D734" s="155"/>
      <c r="E734" s="155"/>
      <c r="F734" s="224"/>
      <c r="G734" s="128"/>
      <c r="H734" s="179"/>
      <c r="I734" s="155"/>
    </row>
    <row r="735" spans="1:9">
      <c r="A735" s="226"/>
      <c r="B735" s="155"/>
      <c r="C735" s="169"/>
      <c r="D735" s="155"/>
      <c r="E735" s="155"/>
      <c r="F735" s="224"/>
      <c r="G735" s="128"/>
      <c r="H735" s="179"/>
      <c r="I735" s="155"/>
    </row>
    <row r="736" spans="1:9">
      <c r="A736" s="226"/>
      <c r="B736" s="155"/>
      <c r="C736" s="169"/>
      <c r="D736" s="155"/>
      <c r="E736" s="155"/>
      <c r="F736" s="224"/>
      <c r="G736" s="128"/>
      <c r="H736" s="179"/>
      <c r="I736" s="155"/>
    </row>
    <row r="737" spans="1:9">
      <c r="A737" s="226"/>
      <c r="B737" s="155"/>
      <c r="C737" s="169"/>
      <c r="D737" s="155"/>
      <c r="E737" s="155"/>
      <c r="F737" s="224"/>
      <c r="G737" s="128"/>
      <c r="H737" s="179"/>
      <c r="I737" s="155"/>
    </row>
    <row r="738" spans="1:9">
      <c r="A738" s="226"/>
      <c r="B738" s="155"/>
      <c r="C738" s="169"/>
      <c r="D738" s="155"/>
      <c r="E738" s="155"/>
      <c r="F738" s="224"/>
      <c r="G738" s="128"/>
      <c r="H738" s="179"/>
      <c r="I738" s="155"/>
    </row>
    <row r="739" spans="1:9">
      <c r="A739" s="226"/>
      <c r="B739" s="155"/>
      <c r="C739" s="169"/>
      <c r="D739" s="155"/>
      <c r="E739" s="155"/>
      <c r="F739" s="224"/>
      <c r="G739" s="128"/>
      <c r="H739" s="179"/>
      <c r="I739" s="155"/>
    </row>
    <row r="740" spans="1:9">
      <c r="A740" s="226"/>
      <c r="B740" s="155"/>
      <c r="C740" s="169"/>
      <c r="D740" s="155"/>
      <c r="E740" s="155"/>
      <c r="F740" s="224"/>
      <c r="G740" s="128"/>
      <c r="H740" s="179"/>
      <c r="I740" s="155"/>
    </row>
    <row r="741" spans="1:9">
      <c r="A741" s="226"/>
      <c r="B741" s="155"/>
      <c r="C741" s="169"/>
      <c r="D741" s="155"/>
      <c r="E741" s="155"/>
      <c r="F741" s="224"/>
      <c r="G741" s="128"/>
      <c r="H741" s="179"/>
      <c r="I741" s="155"/>
    </row>
    <row r="742" spans="1:9">
      <c r="A742" s="226"/>
      <c r="B742" s="155"/>
      <c r="C742" s="169"/>
      <c r="D742" s="155"/>
      <c r="E742" s="155"/>
      <c r="F742" s="224"/>
      <c r="G742" s="128"/>
      <c r="H742" s="179"/>
      <c r="I742" s="155"/>
    </row>
    <row r="743" spans="1:9">
      <c r="A743" s="226"/>
      <c r="B743" s="155"/>
      <c r="C743" s="169"/>
      <c r="D743" s="155"/>
      <c r="E743" s="155"/>
      <c r="F743" s="224"/>
      <c r="G743" s="128"/>
      <c r="H743" s="179"/>
      <c r="I743" s="155"/>
    </row>
    <row r="744" spans="1:9">
      <c r="A744" s="226"/>
      <c r="B744" s="155"/>
      <c r="C744" s="169"/>
      <c r="D744" s="155"/>
      <c r="E744" s="155"/>
      <c r="F744" s="224"/>
      <c r="G744" s="128"/>
      <c r="H744" s="179"/>
      <c r="I744" s="155"/>
    </row>
    <row r="745" spans="1:9">
      <c r="A745" s="226"/>
      <c r="B745" s="155"/>
      <c r="C745" s="169"/>
      <c r="D745" s="155"/>
      <c r="E745" s="155"/>
      <c r="F745" s="224"/>
      <c r="G745" s="128"/>
      <c r="H745" s="179"/>
      <c r="I745" s="155"/>
    </row>
    <row r="746" spans="1:9">
      <c r="A746" s="226"/>
      <c r="B746" s="155"/>
      <c r="C746" s="169"/>
      <c r="D746" s="155"/>
      <c r="E746" s="155"/>
      <c r="F746" s="224"/>
      <c r="G746" s="128"/>
      <c r="H746" s="179"/>
      <c r="I746" s="155"/>
    </row>
    <row r="747" spans="1:9">
      <c r="A747" s="226"/>
      <c r="B747" s="155"/>
      <c r="C747" s="169"/>
      <c r="D747" s="155"/>
      <c r="E747" s="155"/>
      <c r="F747" s="224"/>
      <c r="G747" s="128"/>
      <c r="H747" s="179"/>
      <c r="I747" s="155"/>
    </row>
    <row r="748" spans="1:9">
      <c r="A748" s="226"/>
      <c r="B748" s="155"/>
      <c r="C748" s="169"/>
      <c r="D748" s="155"/>
      <c r="E748" s="155"/>
      <c r="F748" s="224"/>
      <c r="G748" s="128"/>
      <c r="H748" s="179"/>
      <c r="I748" s="155"/>
    </row>
    <row r="749" spans="1:9">
      <c r="A749" s="226"/>
      <c r="B749" s="155"/>
      <c r="C749" s="169"/>
      <c r="D749" s="155"/>
      <c r="E749" s="155"/>
      <c r="F749" s="224"/>
      <c r="G749" s="128"/>
      <c r="H749" s="179"/>
      <c r="I749" s="155"/>
    </row>
    <row r="750" spans="1:9">
      <c r="A750" s="226"/>
      <c r="B750" s="155"/>
      <c r="C750" s="169"/>
      <c r="D750" s="155"/>
      <c r="E750" s="155"/>
      <c r="F750" s="224"/>
      <c r="G750" s="128"/>
      <c r="H750" s="179"/>
      <c r="I750" s="155"/>
    </row>
    <row r="751" spans="1:9">
      <c r="A751" s="226"/>
      <c r="B751" s="155"/>
      <c r="C751" s="169"/>
      <c r="D751" s="155"/>
      <c r="E751" s="155"/>
      <c r="F751" s="224"/>
      <c r="G751" s="128"/>
      <c r="H751" s="179"/>
      <c r="I751" s="155"/>
    </row>
    <row r="752" spans="1:9">
      <c r="A752" s="226"/>
      <c r="B752" s="155"/>
      <c r="C752" s="169"/>
      <c r="D752" s="155"/>
      <c r="E752" s="155"/>
      <c r="F752" s="224"/>
      <c r="G752" s="128"/>
      <c r="H752" s="179"/>
      <c r="I752" s="155"/>
    </row>
    <row r="753" spans="1:9">
      <c r="A753" s="226"/>
      <c r="B753" s="155"/>
      <c r="C753" s="169"/>
      <c r="D753" s="155"/>
      <c r="E753" s="155"/>
      <c r="F753" s="224"/>
      <c r="G753" s="128"/>
      <c r="H753" s="179"/>
      <c r="I753" s="155"/>
    </row>
    <row r="754" spans="1:9">
      <c r="A754" s="226"/>
      <c r="B754" s="155"/>
      <c r="C754" s="169"/>
      <c r="D754" s="155"/>
      <c r="E754" s="155"/>
      <c r="F754" s="224"/>
      <c r="G754" s="128"/>
      <c r="H754" s="179"/>
      <c r="I754" s="155"/>
    </row>
    <row r="755" spans="1:9">
      <c r="A755" s="226"/>
      <c r="B755" s="155"/>
      <c r="C755" s="169"/>
      <c r="D755" s="155"/>
      <c r="E755" s="155"/>
      <c r="F755" s="224"/>
      <c r="G755" s="128"/>
      <c r="H755" s="179"/>
      <c r="I755" s="155"/>
    </row>
    <row r="756" spans="1:9">
      <c r="A756" s="226"/>
      <c r="B756" s="155"/>
      <c r="C756" s="169"/>
      <c r="D756" s="155"/>
      <c r="E756" s="155"/>
      <c r="F756" s="224"/>
      <c r="G756" s="128"/>
      <c r="H756" s="179"/>
      <c r="I756" s="155"/>
    </row>
    <row r="757" spans="1:9">
      <c r="A757" s="226"/>
      <c r="B757" s="155"/>
      <c r="C757" s="169"/>
      <c r="D757" s="155"/>
      <c r="E757" s="155"/>
      <c r="F757" s="224"/>
      <c r="G757" s="128"/>
      <c r="H757" s="179"/>
      <c r="I757" s="155"/>
    </row>
    <row r="758" spans="1:9">
      <c r="A758" s="226"/>
      <c r="B758" s="155"/>
      <c r="C758" s="169"/>
      <c r="D758" s="155"/>
      <c r="E758" s="155"/>
      <c r="F758" s="224"/>
      <c r="G758" s="128"/>
      <c r="H758" s="179"/>
      <c r="I758" s="155"/>
    </row>
    <row r="759" spans="1:9">
      <c r="A759" s="226"/>
      <c r="B759" s="155"/>
      <c r="C759" s="169"/>
      <c r="D759" s="155"/>
      <c r="E759" s="155"/>
      <c r="F759" s="224"/>
      <c r="G759" s="128"/>
      <c r="H759" s="179"/>
      <c r="I759" s="155"/>
    </row>
    <row r="760" spans="1:9">
      <c r="A760" s="226"/>
      <c r="B760" s="155"/>
      <c r="C760" s="169"/>
      <c r="D760" s="155"/>
      <c r="E760" s="155"/>
      <c r="F760" s="224"/>
      <c r="G760" s="128"/>
      <c r="H760" s="179"/>
      <c r="I760" s="155"/>
    </row>
    <row r="761" spans="1:9">
      <c r="A761" s="226"/>
      <c r="B761" s="155"/>
      <c r="C761" s="169"/>
      <c r="D761" s="155"/>
      <c r="E761" s="155"/>
      <c r="F761" s="224"/>
      <c r="G761" s="128"/>
      <c r="H761" s="179"/>
      <c r="I761" s="155"/>
    </row>
    <row r="762" spans="1:9">
      <c r="A762" s="226"/>
      <c r="B762" s="155"/>
      <c r="C762" s="169"/>
      <c r="D762" s="155"/>
      <c r="E762" s="155"/>
      <c r="F762" s="224"/>
      <c r="G762" s="128"/>
      <c r="H762" s="179"/>
      <c r="I762" s="155"/>
    </row>
    <row r="763" spans="1:9">
      <c r="A763" s="226"/>
      <c r="B763" s="155"/>
      <c r="C763" s="169"/>
      <c r="D763" s="155"/>
      <c r="E763" s="155"/>
      <c r="F763" s="224"/>
      <c r="G763" s="128"/>
      <c r="H763" s="179"/>
      <c r="I763" s="155"/>
    </row>
    <row r="764" spans="1:9">
      <c r="A764" s="226"/>
      <c r="B764" s="155"/>
      <c r="C764" s="169"/>
      <c r="D764" s="155"/>
      <c r="E764" s="155"/>
      <c r="F764" s="224"/>
      <c r="G764" s="128"/>
      <c r="H764" s="179"/>
      <c r="I764" s="155"/>
    </row>
    <row r="765" spans="1:9">
      <c r="A765" s="226"/>
      <c r="B765" s="155"/>
      <c r="C765" s="169"/>
      <c r="D765" s="155"/>
      <c r="E765" s="155"/>
      <c r="F765" s="224"/>
      <c r="G765" s="128"/>
      <c r="H765" s="179"/>
      <c r="I765" s="155"/>
    </row>
    <row r="766" spans="1:9">
      <c r="A766" s="226"/>
      <c r="B766" s="155"/>
      <c r="C766" s="169"/>
      <c r="D766" s="155"/>
      <c r="E766" s="155"/>
      <c r="F766" s="224"/>
      <c r="G766" s="128"/>
      <c r="H766" s="179"/>
      <c r="I766" s="155"/>
    </row>
    <row r="767" spans="1:9">
      <c r="A767" s="226"/>
      <c r="B767" s="155"/>
      <c r="C767" s="169"/>
      <c r="D767" s="155"/>
      <c r="E767" s="155"/>
      <c r="F767" s="224"/>
      <c r="G767" s="128"/>
      <c r="H767" s="179"/>
      <c r="I767" s="155"/>
    </row>
    <row r="768" spans="1:9">
      <c r="A768" s="226"/>
      <c r="B768" s="155"/>
      <c r="C768" s="169"/>
      <c r="D768" s="155"/>
      <c r="E768" s="155"/>
      <c r="F768" s="224"/>
      <c r="G768" s="128"/>
      <c r="H768" s="179"/>
      <c r="I768" s="155"/>
    </row>
    <row r="769" spans="1:9">
      <c r="A769" s="226"/>
      <c r="B769" s="155"/>
      <c r="C769" s="169"/>
      <c r="D769" s="155"/>
      <c r="E769" s="155"/>
      <c r="F769" s="224"/>
      <c r="G769" s="128"/>
      <c r="H769" s="179"/>
      <c r="I769" s="155"/>
    </row>
    <row r="770" spans="1:9">
      <c r="A770" s="226"/>
      <c r="B770" s="155"/>
      <c r="C770" s="169"/>
      <c r="D770" s="155"/>
      <c r="E770" s="155"/>
      <c r="F770" s="224"/>
      <c r="G770" s="128"/>
      <c r="H770" s="179"/>
      <c r="I770" s="155"/>
    </row>
    <row r="771" spans="1:9">
      <c r="A771" s="226"/>
      <c r="B771" s="155"/>
      <c r="C771" s="169"/>
      <c r="D771" s="155"/>
      <c r="E771" s="155"/>
      <c r="F771" s="224"/>
      <c r="G771" s="128"/>
      <c r="H771" s="179"/>
      <c r="I771" s="155"/>
    </row>
    <row r="772" spans="1:9">
      <c r="A772" s="226"/>
      <c r="B772" s="155"/>
      <c r="C772" s="169"/>
      <c r="D772" s="155"/>
      <c r="E772" s="155"/>
      <c r="F772" s="224"/>
      <c r="G772" s="128"/>
      <c r="H772" s="179"/>
      <c r="I772" s="155"/>
    </row>
    <row r="773" spans="1:9">
      <c r="A773" s="226"/>
      <c r="B773" s="155"/>
      <c r="C773" s="169"/>
      <c r="D773" s="155"/>
      <c r="E773" s="155"/>
      <c r="F773" s="224"/>
      <c r="G773" s="128"/>
      <c r="H773" s="179"/>
      <c r="I773" s="155"/>
    </row>
    <row r="774" spans="1:9">
      <c r="A774" s="226"/>
      <c r="B774" s="155"/>
      <c r="C774" s="169"/>
      <c r="D774" s="155"/>
      <c r="E774" s="155"/>
      <c r="F774" s="224"/>
      <c r="G774" s="128"/>
      <c r="H774" s="179"/>
      <c r="I774" s="155"/>
    </row>
    <row r="775" spans="1:9">
      <c r="A775" s="226"/>
      <c r="B775" s="155"/>
      <c r="C775" s="169"/>
      <c r="D775" s="155"/>
      <c r="E775" s="155"/>
      <c r="F775" s="224"/>
      <c r="G775" s="128"/>
      <c r="H775" s="179"/>
      <c r="I775" s="155"/>
    </row>
    <row r="776" spans="1:9">
      <c r="A776" s="226"/>
      <c r="B776" s="155"/>
      <c r="C776" s="169"/>
      <c r="D776" s="155"/>
      <c r="E776" s="155"/>
      <c r="F776" s="224"/>
      <c r="G776" s="128"/>
      <c r="H776" s="179"/>
      <c r="I776" s="155"/>
    </row>
    <row r="777" spans="1:9">
      <c r="A777" s="226"/>
      <c r="B777" s="155"/>
      <c r="C777" s="169"/>
      <c r="D777" s="155"/>
      <c r="E777" s="155"/>
      <c r="F777" s="224"/>
      <c r="G777" s="128"/>
      <c r="H777" s="179"/>
      <c r="I777" s="155"/>
    </row>
    <row r="778" spans="1:9">
      <c r="A778" s="226"/>
      <c r="B778" s="155"/>
      <c r="C778" s="169"/>
      <c r="D778" s="155"/>
      <c r="E778" s="155"/>
      <c r="F778" s="224"/>
      <c r="G778" s="128"/>
      <c r="H778" s="179"/>
      <c r="I778" s="155"/>
    </row>
    <row r="779" spans="1:9">
      <c r="A779" s="226"/>
      <c r="B779" s="155"/>
      <c r="C779" s="169"/>
      <c r="D779" s="155"/>
      <c r="E779" s="155"/>
      <c r="F779" s="224"/>
      <c r="G779" s="128"/>
      <c r="H779" s="179"/>
      <c r="I779" s="155"/>
    </row>
    <row r="780" spans="1:9">
      <c r="A780" s="226"/>
      <c r="B780" s="155"/>
      <c r="C780" s="169"/>
      <c r="D780" s="155"/>
      <c r="E780" s="155"/>
      <c r="F780" s="224"/>
      <c r="G780" s="128"/>
      <c r="H780" s="179"/>
      <c r="I780" s="155"/>
    </row>
    <row r="781" spans="1:9">
      <c r="A781" s="226"/>
      <c r="B781" s="155"/>
      <c r="C781" s="169"/>
      <c r="D781" s="155"/>
      <c r="E781" s="155"/>
      <c r="F781" s="224"/>
      <c r="G781" s="128"/>
      <c r="H781" s="179"/>
      <c r="I781" s="155"/>
    </row>
    <row r="782" spans="1:9">
      <c r="A782" s="226"/>
      <c r="B782" s="155"/>
      <c r="C782" s="169"/>
      <c r="D782" s="155"/>
      <c r="E782" s="155"/>
      <c r="F782" s="224"/>
      <c r="G782" s="128"/>
      <c r="H782" s="179"/>
      <c r="I782" s="155"/>
    </row>
    <row r="783" spans="1:9">
      <c r="A783" s="226"/>
      <c r="B783" s="155"/>
      <c r="C783" s="169"/>
      <c r="D783" s="155"/>
      <c r="E783" s="155"/>
      <c r="F783" s="224"/>
      <c r="G783" s="128"/>
      <c r="H783" s="179"/>
      <c r="I783" s="155"/>
    </row>
    <row r="784" spans="1:9">
      <c r="A784" s="226"/>
      <c r="B784" s="155"/>
      <c r="C784" s="169"/>
      <c r="D784" s="155"/>
      <c r="E784" s="155"/>
      <c r="F784" s="224"/>
      <c r="G784" s="128"/>
      <c r="H784" s="179"/>
      <c r="I784" s="155"/>
    </row>
    <row r="785" spans="1:9">
      <c r="A785" s="226"/>
      <c r="B785" s="155"/>
      <c r="C785" s="169"/>
      <c r="D785" s="155"/>
      <c r="E785" s="155"/>
      <c r="F785" s="224"/>
      <c r="G785" s="128"/>
      <c r="H785" s="179"/>
      <c r="I785" s="155"/>
    </row>
    <row r="786" spans="1:9">
      <c r="A786" s="226"/>
      <c r="B786" s="155"/>
      <c r="C786" s="169"/>
      <c r="D786" s="155"/>
      <c r="E786" s="155"/>
      <c r="F786" s="224"/>
      <c r="G786" s="128"/>
      <c r="H786" s="179"/>
      <c r="I786" s="155"/>
    </row>
    <row r="787" spans="1:9">
      <c r="A787" s="226"/>
      <c r="B787" s="155"/>
      <c r="C787" s="169"/>
      <c r="D787" s="155"/>
      <c r="E787" s="155"/>
      <c r="F787" s="224"/>
      <c r="G787" s="128"/>
      <c r="H787" s="179"/>
      <c r="I787" s="155"/>
    </row>
    <row r="788" spans="1:9">
      <c r="A788" s="226"/>
      <c r="B788" s="155"/>
      <c r="C788" s="169"/>
      <c r="D788" s="155"/>
      <c r="E788" s="155"/>
      <c r="F788" s="224"/>
      <c r="G788" s="128"/>
      <c r="H788" s="179"/>
      <c r="I788" s="155"/>
    </row>
    <row r="789" spans="1:9">
      <c r="A789" s="226"/>
      <c r="B789" s="155"/>
      <c r="C789" s="169"/>
      <c r="D789" s="155"/>
      <c r="E789" s="155"/>
      <c r="F789" s="224"/>
      <c r="G789" s="128"/>
      <c r="H789" s="179"/>
      <c r="I789" s="155"/>
    </row>
    <row r="790" spans="1:9">
      <c r="A790" s="226"/>
      <c r="B790" s="155"/>
      <c r="C790" s="169"/>
      <c r="D790" s="155"/>
      <c r="E790" s="155"/>
      <c r="F790" s="224"/>
      <c r="G790" s="128"/>
      <c r="H790" s="179"/>
      <c r="I790" s="155"/>
    </row>
    <row r="791" spans="1:9">
      <c r="A791" s="226"/>
      <c r="B791" s="155"/>
      <c r="C791" s="169"/>
      <c r="D791" s="155"/>
      <c r="E791" s="155"/>
      <c r="F791" s="224"/>
      <c r="G791" s="128"/>
      <c r="H791" s="179"/>
      <c r="I791" s="155"/>
    </row>
    <row r="792" spans="1:9">
      <c r="A792" s="226"/>
      <c r="B792" s="155"/>
      <c r="C792" s="169"/>
      <c r="D792" s="155"/>
      <c r="E792" s="155"/>
      <c r="F792" s="224"/>
      <c r="G792" s="128"/>
      <c r="H792" s="179"/>
      <c r="I792" s="155"/>
    </row>
    <row r="793" spans="1:9">
      <c r="A793" s="226"/>
      <c r="B793" s="155"/>
      <c r="C793" s="169"/>
      <c r="D793" s="155"/>
      <c r="E793" s="155"/>
      <c r="F793" s="224"/>
      <c r="G793" s="128"/>
      <c r="H793" s="179"/>
      <c r="I793" s="155"/>
    </row>
    <row r="794" spans="1:9">
      <c r="A794" s="226"/>
      <c r="B794" s="155"/>
      <c r="C794" s="169"/>
      <c r="D794" s="155"/>
      <c r="E794" s="155"/>
      <c r="F794" s="224"/>
      <c r="G794" s="128"/>
      <c r="H794" s="179"/>
      <c r="I794" s="155"/>
    </row>
    <row r="795" spans="1:9">
      <c r="A795" s="226"/>
      <c r="B795" s="155"/>
      <c r="C795" s="169"/>
      <c r="D795" s="155"/>
      <c r="E795" s="155"/>
      <c r="F795" s="224"/>
      <c r="G795" s="128"/>
      <c r="H795" s="179"/>
      <c r="I795" s="155"/>
    </row>
    <row r="796" spans="1:9">
      <c r="A796" s="226"/>
      <c r="B796" s="155"/>
      <c r="C796" s="169"/>
      <c r="D796" s="155"/>
      <c r="E796" s="155"/>
      <c r="F796" s="224"/>
      <c r="G796" s="128"/>
      <c r="H796" s="179"/>
      <c r="I796" s="155"/>
    </row>
    <row r="797" spans="1:9">
      <c r="A797" s="226"/>
      <c r="B797" s="155"/>
      <c r="C797" s="169"/>
      <c r="D797" s="155"/>
      <c r="E797" s="155"/>
      <c r="F797" s="224"/>
      <c r="G797" s="128"/>
      <c r="H797" s="179"/>
      <c r="I797" s="155"/>
    </row>
    <row r="798" spans="1:9">
      <c r="A798" s="226"/>
      <c r="B798" s="155"/>
      <c r="C798" s="169"/>
      <c r="D798" s="155"/>
      <c r="E798" s="155"/>
      <c r="F798" s="224"/>
      <c r="G798" s="128"/>
      <c r="H798" s="179"/>
      <c r="I798" s="155"/>
    </row>
    <row r="799" spans="1:9">
      <c r="A799" s="226"/>
      <c r="B799" s="155"/>
      <c r="C799" s="169"/>
      <c r="D799" s="155"/>
      <c r="E799" s="155"/>
      <c r="F799" s="224"/>
      <c r="G799" s="128"/>
      <c r="H799" s="179"/>
      <c r="I799" s="155"/>
    </row>
    <row r="800" spans="1:9">
      <c r="A800" s="226"/>
      <c r="B800" s="155"/>
      <c r="C800" s="169"/>
      <c r="D800" s="155"/>
      <c r="E800" s="155"/>
      <c r="F800" s="224"/>
      <c r="G800" s="128"/>
      <c r="H800" s="179"/>
      <c r="I800" s="155"/>
    </row>
    <row r="801" spans="1:9">
      <c r="A801" s="226"/>
      <c r="B801" s="155"/>
      <c r="C801" s="169"/>
      <c r="D801" s="155"/>
      <c r="E801" s="155"/>
      <c r="F801" s="224"/>
      <c r="G801" s="128"/>
      <c r="H801" s="179"/>
      <c r="I801" s="155"/>
    </row>
    <row r="802" spans="1:9">
      <c r="A802" s="226"/>
      <c r="B802" s="155"/>
      <c r="C802" s="169"/>
      <c r="D802" s="155"/>
      <c r="E802" s="155"/>
      <c r="F802" s="224"/>
      <c r="G802" s="128"/>
      <c r="H802" s="179"/>
      <c r="I802" s="155"/>
    </row>
    <row r="803" spans="1:9">
      <c r="A803" s="226"/>
      <c r="B803" s="155"/>
      <c r="C803" s="169"/>
      <c r="D803" s="155"/>
      <c r="E803" s="155"/>
      <c r="F803" s="224"/>
      <c r="G803" s="128"/>
      <c r="H803" s="179"/>
      <c r="I803" s="155"/>
    </row>
    <row r="804" spans="1:9">
      <c r="A804" s="226"/>
      <c r="B804" s="155"/>
      <c r="C804" s="169"/>
      <c r="D804" s="155"/>
      <c r="E804" s="155"/>
      <c r="F804" s="224"/>
      <c r="G804" s="128"/>
      <c r="H804" s="179"/>
      <c r="I804" s="155"/>
    </row>
    <row r="805" spans="1:9">
      <c r="A805" s="226"/>
      <c r="B805" s="155"/>
      <c r="C805" s="169"/>
      <c r="D805" s="155"/>
      <c r="E805" s="155"/>
      <c r="F805" s="224"/>
      <c r="G805" s="128"/>
      <c r="H805" s="179"/>
      <c r="I805" s="155"/>
    </row>
    <row r="806" spans="1:9">
      <c r="A806" s="226"/>
      <c r="B806" s="155"/>
      <c r="C806" s="169"/>
      <c r="D806" s="155"/>
      <c r="E806" s="155"/>
      <c r="F806" s="224"/>
      <c r="G806" s="128"/>
      <c r="H806" s="179"/>
      <c r="I806" s="155"/>
    </row>
    <row r="807" spans="1:9">
      <c r="A807" s="226"/>
      <c r="B807" s="155"/>
      <c r="C807" s="169"/>
      <c r="D807" s="155"/>
      <c r="E807" s="155"/>
      <c r="F807" s="224"/>
      <c r="G807" s="128"/>
      <c r="H807" s="179"/>
      <c r="I807" s="155"/>
    </row>
    <row r="808" spans="1:9">
      <c r="A808" s="226"/>
      <c r="B808" s="155"/>
      <c r="C808" s="169"/>
      <c r="D808" s="155"/>
      <c r="E808" s="155"/>
      <c r="F808" s="224"/>
      <c r="G808" s="128"/>
      <c r="H808" s="179"/>
      <c r="I808" s="155"/>
    </row>
    <row r="809" spans="1:9">
      <c r="A809" s="226"/>
      <c r="B809" s="155"/>
      <c r="C809" s="169"/>
      <c r="D809" s="155"/>
      <c r="E809" s="155"/>
      <c r="F809" s="224"/>
      <c r="G809" s="128"/>
      <c r="H809" s="179"/>
      <c r="I809" s="155"/>
    </row>
    <row r="810" spans="1:9">
      <c r="A810" s="226"/>
      <c r="B810" s="155"/>
      <c r="C810" s="169"/>
      <c r="D810" s="155"/>
      <c r="E810" s="155"/>
      <c r="F810" s="224"/>
      <c r="G810" s="128"/>
      <c r="H810" s="179"/>
      <c r="I810" s="155"/>
    </row>
    <row r="811" spans="1:9">
      <c r="A811" s="226"/>
      <c r="B811" s="155"/>
      <c r="C811" s="169"/>
      <c r="D811" s="155"/>
      <c r="E811" s="155"/>
      <c r="F811" s="224"/>
      <c r="G811" s="128"/>
      <c r="H811" s="179"/>
      <c r="I811" s="155"/>
    </row>
    <row r="812" spans="1:9">
      <c r="A812" s="226"/>
      <c r="B812" s="155"/>
      <c r="C812" s="169"/>
      <c r="D812" s="155"/>
      <c r="E812" s="155"/>
      <c r="F812" s="224"/>
      <c r="G812" s="128"/>
      <c r="H812" s="179"/>
      <c r="I812" s="155"/>
    </row>
    <row r="813" spans="1:9">
      <c r="A813" s="226"/>
      <c r="B813" s="155"/>
      <c r="C813" s="169"/>
      <c r="D813" s="155"/>
      <c r="E813" s="155"/>
      <c r="F813" s="224"/>
      <c r="G813" s="128"/>
      <c r="H813" s="179"/>
      <c r="I813" s="155"/>
    </row>
    <row r="814" spans="1:9">
      <c r="A814" s="226"/>
      <c r="B814" s="155"/>
      <c r="C814" s="169"/>
      <c r="D814" s="155"/>
      <c r="E814" s="155"/>
      <c r="F814" s="224"/>
      <c r="G814" s="128"/>
      <c r="H814" s="179"/>
      <c r="I814" s="155"/>
    </row>
    <row r="815" spans="1:9">
      <c r="A815" s="226"/>
      <c r="B815" s="155"/>
      <c r="C815" s="169"/>
      <c r="D815" s="155"/>
      <c r="E815" s="155"/>
      <c r="F815" s="224"/>
      <c r="G815" s="128"/>
      <c r="H815" s="179"/>
      <c r="I815" s="155"/>
    </row>
    <row r="816" spans="1:9">
      <c r="A816" s="226"/>
      <c r="B816" s="155"/>
      <c r="C816" s="169"/>
      <c r="D816" s="155"/>
      <c r="E816" s="155"/>
      <c r="F816" s="224"/>
      <c r="G816" s="128"/>
      <c r="H816" s="179"/>
      <c r="I816" s="155"/>
    </row>
    <row r="817" spans="1:9">
      <c r="A817" s="226"/>
      <c r="B817" s="155"/>
      <c r="C817" s="169"/>
      <c r="D817" s="155"/>
      <c r="E817" s="155"/>
      <c r="F817" s="224"/>
      <c r="G817" s="128"/>
      <c r="H817" s="179"/>
      <c r="I817" s="155"/>
    </row>
    <row r="818" spans="1:9">
      <c r="A818" s="226"/>
      <c r="B818" s="155"/>
      <c r="C818" s="169"/>
      <c r="D818" s="155"/>
      <c r="E818" s="155"/>
      <c r="F818" s="224"/>
      <c r="G818" s="128"/>
      <c r="H818" s="179"/>
      <c r="I818" s="155"/>
    </row>
    <row r="819" spans="1:9">
      <c r="A819" s="226"/>
      <c r="B819" s="155"/>
      <c r="C819" s="169"/>
      <c r="D819" s="155"/>
      <c r="E819" s="155"/>
      <c r="F819" s="224"/>
      <c r="G819" s="128"/>
      <c r="H819" s="179"/>
      <c r="I819" s="155"/>
    </row>
    <row r="820" spans="1:9">
      <c r="A820" s="226"/>
      <c r="B820" s="155"/>
      <c r="C820" s="169"/>
      <c r="D820" s="155"/>
      <c r="E820" s="155"/>
      <c r="F820" s="224"/>
      <c r="G820" s="128"/>
      <c r="H820" s="179"/>
      <c r="I820" s="155"/>
    </row>
    <row r="821" spans="1:9">
      <c r="A821" s="226"/>
      <c r="B821" s="155"/>
      <c r="C821" s="169"/>
      <c r="D821" s="155"/>
      <c r="E821" s="155"/>
      <c r="F821" s="224"/>
      <c r="G821" s="128"/>
      <c r="H821" s="179"/>
      <c r="I821" s="155"/>
    </row>
    <row r="822" spans="1:9">
      <c r="A822" s="226"/>
      <c r="B822" s="155"/>
      <c r="C822" s="169"/>
      <c r="D822" s="155"/>
      <c r="E822" s="155"/>
      <c r="F822" s="224"/>
      <c r="G822" s="128"/>
      <c r="H822" s="179"/>
      <c r="I822" s="155"/>
    </row>
    <row r="823" spans="1:9">
      <c r="A823" s="226"/>
      <c r="B823" s="155"/>
      <c r="C823" s="169"/>
      <c r="D823" s="155"/>
      <c r="E823" s="155"/>
      <c r="F823" s="224"/>
      <c r="G823" s="128"/>
      <c r="H823" s="179"/>
      <c r="I823" s="155"/>
    </row>
    <row r="824" spans="1:9">
      <c r="A824" s="226"/>
      <c r="B824" s="155"/>
      <c r="C824" s="169"/>
      <c r="D824" s="155"/>
      <c r="E824" s="155"/>
      <c r="F824" s="224"/>
      <c r="G824" s="128"/>
      <c r="H824" s="179"/>
      <c r="I824" s="155"/>
    </row>
    <row r="825" spans="1:9">
      <c r="A825" s="226"/>
      <c r="B825" s="155"/>
      <c r="C825" s="169"/>
      <c r="D825" s="155"/>
      <c r="E825" s="155"/>
      <c r="F825" s="224"/>
      <c r="G825" s="128"/>
      <c r="H825" s="179"/>
      <c r="I825" s="155"/>
    </row>
    <row r="826" spans="1:9">
      <c r="A826" s="226"/>
      <c r="B826" s="155"/>
      <c r="C826" s="169"/>
      <c r="D826" s="155"/>
      <c r="E826" s="155"/>
      <c r="F826" s="224"/>
      <c r="G826" s="128"/>
      <c r="H826" s="179"/>
      <c r="I826" s="155"/>
    </row>
    <row r="827" spans="1:9">
      <c r="A827" s="226"/>
      <c r="B827" s="155"/>
      <c r="C827" s="169"/>
      <c r="D827" s="155"/>
      <c r="E827" s="155"/>
      <c r="F827" s="224"/>
      <c r="G827" s="128"/>
      <c r="H827" s="179"/>
      <c r="I827" s="155"/>
    </row>
    <row r="828" spans="1:9">
      <c r="A828" s="226"/>
      <c r="B828" s="155"/>
      <c r="C828" s="169"/>
      <c r="D828" s="155"/>
      <c r="E828" s="155"/>
      <c r="F828" s="224"/>
      <c r="G828" s="128"/>
      <c r="H828" s="179"/>
      <c r="I828" s="155"/>
    </row>
    <row r="829" spans="1:9">
      <c r="A829" s="226"/>
      <c r="B829" s="155"/>
      <c r="C829" s="169"/>
      <c r="D829" s="155"/>
      <c r="E829" s="155"/>
      <c r="F829" s="224"/>
      <c r="G829" s="128"/>
      <c r="H829" s="179"/>
      <c r="I829" s="155"/>
    </row>
    <row r="830" spans="1:9">
      <c r="A830" s="226"/>
      <c r="B830" s="155"/>
      <c r="C830" s="169"/>
      <c r="D830" s="155"/>
      <c r="E830" s="155"/>
      <c r="F830" s="224"/>
      <c r="G830" s="128"/>
      <c r="H830" s="179"/>
      <c r="I830" s="155"/>
    </row>
    <row r="831" spans="1:9">
      <c r="A831" s="226"/>
      <c r="B831" s="155"/>
      <c r="C831" s="169"/>
      <c r="D831" s="155"/>
      <c r="E831" s="155"/>
      <c r="F831" s="224"/>
      <c r="G831" s="128"/>
      <c r="H831" s="179"/>
      <c r="I831" s="155"/>
    </row>
    <row r="832" spans="1:9">
      <c r="A832" s="226"/>
      <c r="B832" s="155"/>
      <c r="C832" s="169"/>
      <c r="D832" s="155"/>
      <c r="E832" s="155"/>
      <c r="F832" s="224"/>
      <c r="G832" s="128"/>
      <c r="H832" s="179"/>
      <c r="I832" s="155"/>
    </row>
    <row r="833" spans="1:9">
      <c r="A833" s="226"/>
      <c r="B833" s="155"/>
      <c r="C833" s="169"/>
      <c r="D833" s="155"/>
      <c r="E833" s="155"/>
      <c r="F833" s="224"/>
      <c r="G833" s="128"/>
      <c r="H833" s="179"/>
      <c r="I833" s="155"/>
    </row>
    <row r="834" spans="1:9">
      <c r="A834" s="226"/>
      <c r="B834" s="155"/>
      <c r="C834" s="169"/>
      <c r="D834" s="155"/>
      <c r="E834" s="155"/>
      <c r="F834" s="224"/>
      <c r="G834" s="128"/>
      <c r="H834" s="179"/>
      <c r="I834" s="155"/>
    </row>
    <row r="835" spans="1:9">
      <c r="A835" s="226"/>
      <c r="B835" s="175"/>
      <c r="C835" s="176"/>
      <c r="D835" s="175"/>
      <c r="E835" s="175"/>
      <c r="F835" s="227"/>
      <c r="G835" s="228"/>
      <c r="H835" s="179"/>
      <c r="I835" s="155"/>
    </row>
    <row r="836" spans="1:9">
      <c r="A836" s="226"/>
      <c r="B836" s="155"/>
      <c r="C836" s="169"/>
      <c r="D836" s="155"/>
      <c r="E836" s="155"/>
      <c r="F836" s="224"/>
      <c r="G836" s="128"/>
      <c r="H836" s="179"/>
      <c r="I836" s="155"/>
    </row>
    <row r="837" spans="1:9">
      <c r="A837" s="226"/>
      <c r="B837" s="155"/>
      <c r="C837" s="169"/>
      <c r="D837" s="155"/>
      <c r="E837" s="155"/>
      <c r="F837" s="224"/>
      <c r="G837" s="128"/>
      <c r="H837" s="179"/>
      <c r="I837" s="155"/>
    </row>
    <row r="838" spans="1:9">
      <c r="A838" s="226"/>
      <c r="B838" s="155"/>
      <c r="C838" s="169"/>
      <c r="D838" s="155"/>
      <c r="E838" s="155"/>
      <c r="F838" s="224"/>
      <c r="G838" s="128"/>
      <c r="H838" s="179"/>
      <c r="I838" s="155"/>
    </row>
    <row r="839" spans="1:9">
      <c r="A839" s="226"/>
      <c r="B839" s="155"/>
      <c r="C839" s="169"/>
      <c r="D839" s="155"/>
      <c r="E839" s="155"/>
      <c r="F839" s="224"/>
      <c r="G839" s="128"/>
      <c r="H839" s="179"/>
      <c r="I839" s="155"/>
    </row>
    <row r="840" spans="1:9">
      <c r="A840" s="226"/>
      <c r="B840" s="155"/>
      <c r="C840" s="169"/>
      <c r="D840" s="155"/>
      <c r="E840" s="155"/>
      <c r="F840" s="224"/>
      <c r="G840" s="128"/>
      <c r="H840" s="179"/>
      <c r="I840" s="155"/>
    </row>
    <row r="841" spans="1:9">
      <c r="A841" s="226"/>
      <c r="B841" s="155"/>
      <c r="C841" s="169"/>
      <c r="D841" s="155"/>
      <c r="E841" s="155"/>
      <c r="F841" s="224"/>
      <c r="G841" s="128"/>
      <c r="H841" s="179"/>
      <c r="I841" s="155"/>
    </row>
    <row r="842" spans="1:9">
      <c r="A842" s="226"/>
      <c r="B842" s="155"/>
      <c r="C842" s="169"/>
      <c r="D842" s="155"/>
      <c r="E842" s="155"/>
      <c r="F842" s="224"/>
      <c r="G842" s="128"/>
      <c r="H842" s="179"/>
      <c r="I842" s="155"/>
    </row>
    <row r="843" spans="1:9">
      <c r="A843" s="226"/>
      <c r="B843" s="155"/>
      <c r="C843" s="169"/>
      <c r="D843" s="155"/>
      <c r="E843" s="155"/>
      <c r="F843" s="224"/>
      <c r="G843" s="128"/>
      <c r="H843" s="179"/>
      <c r="I843" s="155"/>
    </row>
    <row r="844" spans="1:9">
      <c r="A844" s="226"/>
      <c r="B844" s="155"/>
      <c r="C844" s="169"/>
      <c r="D844" s="155"/>
      <c r="E844" s="155"/>
      <c r="F844" s="224"/>
      <c r="G844" s="128"/>
      <c r="H844" s="179"/>
      <c r="I844" s="155"/>
    </row>
    <row r="845" spans="1:9">
      <c r="A845" s="226"/>
      <c r="B845" s="155"/>
      <c r="C845" s="169"/>
      <c r="D845" s="155"/>
      <c r="E845" s="155"/>
      <c r="F845" s="224"/>
      <c r="G845" s="128"/>
      <c r="H845" s="179"/>
      <c r="I845" s="155"/>
    </row>
    <row r="846" spans="1:9">
      <c r="A846" s="226"/>
      <c r="B846" s="175"/>
      <c r="C846" s="176"/>
      <c r="D846" s="175"/>
      <c r="E846" s="175"/>
      <c r="F846" s="227"/>
      <c r="G846" s="228"/>
      <c r="H846" s="179"/>
      <c r="I846" s="155"/>
    </row>
    <row r="847" spans="1:9">
      <c r="A847" s="226"/>
      <c r="B847" s="155"/>
      <c r="C847" s="169"/>
      <c r="D847" s="155"/>
      <c r="E847" s="155"/>
      <c r="F847" s="224"/>
      <c r="G847" s="128"/>
      <c r="H847" s="179"/>
      <c r="I847" s="155"/>
    </row>
    <row r="848" spans="1:9">
      <c r="A848" s="226"/>
      <c r="B848" s="155"/>
      <c r="C848" s="169"/>
      <c r="D848" s="155"/>
      <c r="E848" s="155"/>
      <c r="F848" s="224"/>
      <c r="G848" s="128"/>
      <c r="H848" s="179"/>
      <c r="I848" s="155"/>
    </row>
    <row r="849" spans="1:9">
      <c r="A849" s="226"/>
      <c r="B849" s="155"/>
      <c r="C849" s="169"/>
      <c r="D849" s="155"/>
      <c r="E849" s="155"/>
      <c r="F849" s="224"/>
      <c r="G849" s="128"/>
      <c r="H849" s="179"/>
      <c r="I849" s="155"/>
    </row>
    <row r="850" spans="1:9">
      <c r="A850" s="226"/>
      <c r="B850" s="155"/>
      <c r="C850" s="169"/>
      <c r="D850" s="155"/>
      <c r="E850" s="155"/>
      <c r="F850" s="224"/>
      <c r="G850" s="128"/>
      <c r="H850" s="179"/>
      <c r="I850" s="155"/>
    </row>
    <row r="851" spans="1:9">
      <c r="A851" s="226"/>
      <c r="B851" s="155"/>
      <c r="C851" s="169"/>
      <c r="D851" s="155"/>
      <c r="E851" s="155"/>
      <c r="F851" s="224"/>
      <c r="G851" s="128"/>
      <c r="H851" s="179"/>
      <c r="I851" s="155"/>
    </row>
    <row r="852" spans="1:9">
      <c r="A852" s="226"/>
      <c r="B852" s="155"/>
      <c r="C852" s="169"/>
      <c r="D852" s="155"/>
      <c r="E852" s="155"/>
      <c r="F852" s="224"/>
      <c r="G852" s="128"/>
      <c r="H852" s="179"/>
      <c r="I852" s="155"/>
    </row>
    <row r="853" spans="1:9">
      <c r="A853" s="226"/>
      <c r="B853" s="155"/>
      <c r="C853" s="169"/>
      <c r="D853" s="155"/>
      <c r="E853" s="155"/>
      <c r="F853" s="224"/>
      <c r="G853" s="128"/>
      <c r="H853" s="179"/>
      <c r="I853" s="155"/>
    </row>
    <row r="854" spans="1:9">
      <c r="A854" s="226"/>
      <c r="B854" s="155"/>
      <c r="C854" s="169"/>
      <c r="D854" s="155"/>
      <c r="E854" s="155"/>
      <c r="F854" s="224"/>
      <c r="G854" s="128"/>
      <c r="H854" s="179"/>
      <c r="I854" s="155"/>
    </row>
    <row r="855" spans="1:9">
      <c r="A855" s="226"/>
      <c r="B855" s="155"/>
      <c r="C855" s="169"/>
      <c r="D855" s="155"/>
      <c r="E855" s="155"/>
      <c r="F855" s="224"/>
      <c r="G855" s="128"/>
      <c r="H855" s="179"/>
      <c r="I855" s="155"/>
    </row>
    <row r="856" spans="1:9">
      <c r="A856" s="226"/>
      <c r="B856" s="155"/>
      <c r="C856" s="169"/>
      <c r="D856" s="155"/>
      <c r="E856" s="155"/>
      <c r="F856" s="224"/>
      <c r="G856" s="128"/>
      <c r="H856" s="179"/>
      <c r="I856" s="155"/>
    </row>
    <row r="857" spans="1:9">
      <c r="A857" s="226"/>
      <c r="B857" s="155"/>
      <c r="C857" s="169"/>
      <c r="D857" s="155"/>
      <c r="E857" s="155"/>
      <c r="F857" s="224"/>
      <c r="G857" s="128"/>
      <c r="H857" s="179"/>
      <c r="I857" s="155"/>
    </row>
    <row r="858" spans="1:9">
      <c r="A858" s="226"/>
      <c r="B858" s="155"/>
      <c r="C858" s="169"/>
      <c r="D858" s="155"/>
      <c r="E858" s="155"/>
      <c r="F858" s="224"/>
      <c r="G858" s="128"/>
      <c r="H858" s="179"/>
      <c r="I858" s="155"/>
    </row>
    <row r="859" spans="1:9">
      <c r="A859" s="226"/>
      <c r="B859" s="155"/>
      <c r="C859" s="169"/>
      <c r="D859" s="155"/>
      <c r="E859" s="155"/>
      <c r="F859" s="224"/>
      <c r="G859" s="128"/>
      <c r="H859" s="179"/>
      <c r="I859" s="155"/>
    </row>
    <row r="860" spans="1:9">
      <c r="A860" s="226"/>
      <c r="B860" s="155"/>
      <c r="C860" s="169"/>
      <c r="D860" s="155"/>
      <c r="E860" s="155"/>
      <c r="F860" s="224"/>
      <c r="G860" s="128"/>
      <c r="H860" s="179"/>
      <c r="I860" s="155"/>
    </row>
    <row r="861" spans="1:9">
      <c r="A861" s="226"/>
      <c r="B861" s="155"/>
      <c r="C861" s="169"/>
      <c r="D861" s="155"/>
      <c r="E861" s="155"/>
      <c r="F861" s="224"/>
      <c r="G861" s="128"/>
      <c r="H861" s="179"/>
      <c r="I861" s="155"/>
    </row>
    <row r="862" spans="1:9">
      <c r="A862" s="226"/>
      <c r="B862" s="155"/>
      <c r="C862" s="169"/>
      <c r="D862" s="155"/>
      <c r="E862" s="155"/>
      <c r="F862" s="224"/>
      <c r="G862" s="128"/>
      <c r="H862" s="179"/>
      <c r="I862" s="155"/>
    </row>
    <row r="863" spans="1:9">
      <c r="A863" s="226"/>
      <c r="B863" s="155"/>
      <c r="C863" s="169"/>
      <c r="D863" s="155"/>
      <c r="E863" s="155"/>
      <c r="F863" s="224"/>
      <c r="G863" s="128"/>
      <c r="H863" s="179"/>
      <c r="I863" s="155"/>
    </row>
    <row r="864" spans="1:9">
      <c r="A864" s="226"/>
      <c r="B864" s="155"/>
      <c r="C864" s="169"/>
      <c r="D864" s="155"/>
      <c r="E864" s="155"/>
      <c r="F864" s="224"/>
      <c r="G864" s="128"/>
      <c r="H864" s="179"/>
      <c r="I864" s="155"/>
    </row>
    <row r="865" spans="1:13">
      <c r="A865" s="226"/>
      <c r="B865" s="155"/>
      <c r="C865" s="169"/>
      <c r="D865" s="155"/>
      <c r="E865" s="155"/>
      <c r="F865" s="224"/>
      <c r="G865" s="128"/>
      <c r="H865" s="179"/>
      <c r="I865" s="155"/>
    </row>
    <row r="866" spans="1:13">
      <c r="A866" s="226"/>
      <c r="B866" s="155"/>
      <c r="C866" s="169"/>
      <c r="D866" s="155"/>
      <c r="E866" s="155"/>
      <c r="F866" s="224"/>
      <c r="G866" s="128"/>
      <c r="H866" s="179"/>
      <c r="I866" s="155"/>
    </row>
    <row r="867" spans="1:13">
      <c r="A867" s="226"/>
      <c r="B867" s="155"/>
      <c r="C867" s="169"/>
      <c r="D867" s="155"/>
      <c r="E867" s="155"/>
      <c r="F867" s="224"/>
      <c r="G867" s="128"/>
      <c r="H867" s="179"/>
      <c r="I867" s="155"/>
    </row>
    <row r="868" spans="1:13">
      <c r="A868" s="226"/>
      <c r="B868" s="155"/>
      <c r="C868" s="169"/>
      <c r="D868" s="155"/>
      <c r="E868" s="155"/>
      <c r="F868" s="224"/>
      <c r="G868" s="128"/>
      <c r="H868" s="179"/>
      <c r="I868" s="155"/>
    </row>
    <row r="869" spans="1:13">
      <c r="A869" s="226"/>
      <c r="B869" s="155"/>
      <c r="C869" s="169"/>
      <c r="D869" s="155"/>
      <c r="E869" s="155"/>
      <c r="F869" s="224"/>
      <c r="G869" s="128"/>
      <c r="H869" s="179"/>
      <c r="I869" s="155"/>
    </row>
    <row r="870" spans="1:13">
      <c r="A870" s="226"/>
      <c r="B870" s="155"/>
      <c r="C870" s="169"/>
      <c r="D870" s="155"/>
      <c r="E870" s="155"/>
      <c r="F870" s="224"/>
      <c r="G870" s="128"/>
      <c r="H870" s="179"/>
      <c r="I870" s="155"/>
    </row>
    <row r="871" spans="1:13">
      <c r="A871" s="226"/>
      <c r="B871" s="155"/>
      <c r="C871" s="169"/>
      <c r="D871" s="155"/>
      <c r="E871" s="155"/>
      <c r="F871" s="224"/>
      <c r="G871" s="128"/>
      <c r="H871" s="179"/>
      <c r="I871" s="155"/>
    </row>
    <row r="872" spans="1:13">
      <c r="A872" s="226"/>
      <c r="B872" s="155"/>
      <c r="C872" s="169"/>
      <c r="D872" s="155"/>
      <c r="E872" s="155"/>
      <c r="F872" s="224"/>
      <c r="G872" s="128"/>
      <c r="H872" s="179"/>
      <c r="I872" s="155"/>
    </row>
    <row r="873" spans="1:13">
      <c r="A873" s="226"/>
      <c r="B873" s="155"/>
      <c r="C873" s="169"/>
      <c r="D873" s="155"/>
      <c r="E873" s="155"/>
      <c r="F873" s="224"/>
      <c r="G873" s="128"/>
      <c r="H873" s="179"/>
      <c r="I873" s="155"/>
    </row>
    <row r="874" spans="1:13">
      <c r="A874" s="226"/>
      <c r="B874" s="155"/>
      <c r="C874" s="169"/>
      <c r="D874" s="155"/>
      <c r="E874" s="155"/>
      <c r="F874" s="224"/>
      <c r="G874" s="128"/>
      <c r="H874" s="179"/>
      <c r="I874" s="155"/>
    </row>
    <row r="875" spans="1:13">
      <c r="A875" s="226"/>
      <c r="B875" s="155"/>
      <c r="C875" s="169"/>
      <c r="D875" s="155"/>
      <c r="E875" s="155"/>
      <c r="F875" s="224"/>
      <c r="G875" s="128"/>
      <c r="H875" s="179"/>
      <c r="I875" s="155"/>
      <c r="M875" s="127" t="s">
        <v>8</v>
      </c>
    </row>
    <row r="876" spans="1:13">
      <c r="A876" s="226"/>
      <c r="B876" s="155"/>
      <c r="C876" s="169"/>
      <c r="D876" s="155"/>
      <c r="E876" s="155"/>
      <c r="F876" s="224"/>
      <c r="G876" s="128"/>
      <c r="H876" s="179"/>
      <c r="I876" s="155"/>
    </row>
    <row r="877" spans="1:13">
      <c r="A877" s="226"/>
      <c r="B877" s="155"/>
      <c r="C877" s="169"/>
      <c r="D877" s="155"/>
      <c r="E877" s="155"/>
      <c r="F877" s="224"/>
      <c r="G877" s="128"/>
      <c r="H877" s="179"/>
      <c r="I877" s="155"/>
    </row>
    <row r="878" spans="1:13">
      <c r="A878" s="226"/>
      <c r="B878" s="155"/>
      <c r="C878" s="169"/>
      <c r="D878" s="155"/>
      <c r="E878" s="155"/>
      <c r="F878" s="224"/>
      <c r="G878" s="128"/>
      <c r="H878" s="179"/>
      <c r="I878" s="155"/>
    </row>
    <row r="879" spans="1:13">
      <c r="A879" s="226"/>
      <c r="B879" s="155"/>
      <c r="C879" s="169"/>
      <c r="D879" s="155"/>
      <c r="E879" s="155"/>
      <c r="F879" s="224"/>
      <c r="G879" s="128"/>
      <c r="H879" s="179"/>
      <c r="I879" s="155"/>
    </row>
    <row r="880" spans="1:13">
      <c r="A880" s="226"/>
      <c r="B880" s="155"/>
      <c r="C880" s="169"/>
      <c r="D880" s="155"/>
      <c r="E880" s="155"/>
      <c r="F880" s="224"/>
      <c r="G880" s="128"/>
      <c r="H880" s="179"/>
      <c r="I880" s="155"/>
    </row>
    <row r="881" spans="1:9">
      <c r="A881" s="226"/>
      <c r="B881" s="155"/>
      <c r="C881" s="169"/>
      <c r="D881" s="155"/>
      <c r="E881" s="155"/>
      <c r="F881" s="224"/>
      <c r="G881" s="128"/>
      <c r="H881" s="179"/>
      <c r="I881" s="155"/>
    </row>
    <row r="882" spans="1:9">
      <c r="A882" s="226"/>
      <c r="B882" s="155"/>
      <c r="C882" s="169"/>
      <c r="D882" s="155"/>
      <c r="E882" s="155"/>
      <c r="F882" s="224"/>
      <c r="G882" s="128"/>
      <c r="H882" s="179"/>
      <c r="I882" s="155"/>
    </row>
    <row r="883" spans="1:9">
      <c r="A883" s="226"/>
      <c r="B883" s="155"/>
      <c r="C883" s="169"/>
      <c r="D883" s="155"/>
      <c r="E883" s="155"/>
      <c r="F883" s="224"/>
      <c r="G883" s="128"/>
      <c r="H883" s="179"/>
      <c r="I883" s="155"/>
    </row>
    <row r="884" spans="1:9">
      <c r="A884" s="226"/>
      <c r="B884" s="155"/>
      <c r="C884" s="169"/>
      <c r="D884" s="155"/>
      <c r="E884" s="155"/>
      <c r="F884" s="224"/>
      <c r="G884" s="128"/>
      <c r="H884" s="179"/>
      <c r="I884" s="155"/>
    </row>
    <row r="885" spans="1:9">
      <c r="A885" s="226"/>
      <c r="B885" s="155"/>
      <c r="C885" s="169"/>
      <c r="D885" s="155"/>
      <c r="E885" s="155"/>
      <c r="F885" s="224"/>
      <c r="G885" s="128"/>
      <c r="H885" s="179"/>
      <c r="I885" s="155"/>
    </row>
    <row r="886" spans="1:9">
      <c r="A886" s="226"/>
      <c r="B886" s="155"/>
      <c r="C886" s="169"/>
      <c r="D886" s="155"/>
      <c r="E886" s="155"/>
      <c r="F886" s="224"/>
      <c r="G886" s="128"/>
      <c r="H886" s="179"/>
      <c r="I886" s="155"/>
    </row>
    <row r="887" spans="1:9">
      <c r="A887" s="226"/>
      <c r="B887" s="155"/>
      <c r="C887" s="169"/>
      <c r="D887" s="155"/>
      <c r="E887" s="155"/>
      <c r="F887" s="224"/>
      <c r="G887" s="128"/>
      <c r="H887" s="179"/>
      <c r="I887" s="155"/>
    </row>
    <row r="888" spans="1:9">
      <c r="A888" s="226"/>
      <c r="B888" s="155"/>
      <c r="C888" s="169"/>
      <c r="D888" s="155"/>
      <c r="E888" s="155"/>
      <c r="F888" s="224"/>
      <c r="G888" s="128"/>
      <c r="H888" s="179"/>
      <c r="I888" s="155"/>
    </row>
    <row r="889" spans="1:9">
      <c r="A889" s="226"/>
      <c r="B889" s="155"/>
      <c r="C889" s="169"/>
      <c r="D889" s="155"/>
      <c r="E889" s="155"/>
      <c r="F889" s="224"/>
      <c r="G889" s="128"/>
      <c r="H889" s="179"/>
      <c r="I889" s="155"/>
    </row>
    <row r="890" spans="1:9">
      <c r="A890" s="226"/>
      <c r="B890" s="155"/>
      <c r="C890" s="169"/>
      <c r="D890" s="155"/>
      <c r="E890" s="155"/>
      <c r="F890" s="224"/>
      <c r="G890" s="128"/>
      <c r="H890" s="179"/>
      <c r="I890" s="155"/>
    </row>
    <row r="891" spans="1:9">
      <c r="A891" s="226"/>
      <c r="B891" s="155"/>
      <c r="C891" s="169"/>
      <c r="D891" s="155"/>
      <c r="E891" s="155"/>
      <c r="F891" s="224"/>
      <c r="G891" s="128"/>
      <c r="H891" s="179"/>
      <c r="I891" s="155"/>
    </row>
    <row r="892" spans="1:9" ht="0.75" customHeight="1">
      <c r="A892" s="226"/>
      <c r="B892" s="155"/>
      <c r="C892" s="169"/>
      <c r="D892" s="155"/>
      <c r="E892" s="155"/>
      <c r="F892" s="224"/>
      <c r="G892" s="128"/>
      <c r="H892" s="179"/>
      <c r="I892" s="155"/>
    </row>
    <row r="893" spans="1:9" hidden="1">
      <c r="A893" s="226"/>
      <c r="B893" s="155"/>
      <c r="C893" s="169"/>
      <c r="D893" s="155"/>
      <c r="E893" s="155"/>
      <c r="F893" s="224"/>
      <c r="G893" s="128"/>
      <c r="H893" s="179"/>
      <c r="I893" s="155"/>
    </row>
    <row r="894" spans="1:9" hidden="1">
      <c r="A894" s="226"/>
      <c r="B894" s="155"/>
      <c r="C894" s="169"/>
      <c r="D894" s="155"/>
      <c r="E894" s="155"/>
      <c r="F894" s="224"/>
      <c r="G894" s="128"/>
      <c r="H894" s="179"/>
      <c r="I894" s="155"/>
    </row>
    <row r="895" spans="1:9">
      <c r="A895" s="226"/>
      <c r="B895" s="155"/>
      <c r="C895" s="169"/>
      <c r="D895" s="155"/>
      <c r="E895" s="155"/>
      <c r="F895" s="224"/>
      <c r="G895" s="128"/>
      <c r="H895" s="179"/>
      <c r="I895" s="155"/>
    </row>
    <row r="896" spans="1:9">
      <c r="A896" s="226"/>
      <c r="B896" s="155"/>
      <c r="C896" s="169"/>
      <c r="D896" s="155"/>
      <c r="E896" s="155"/>
      <c r="F896" s="224"/>
      <c r="G896" s="128"/>
      <c r="H896" s="179"/>
      <c r="I896" s="155"/>
    </row>
    <row r="897" spans="1:9">
      <c r="A897" s="226"/>
      <c r="B897" s="155"/>
      <c r="C897" s="169"/>
      <c r="D897" s="155"/>
      <c r="E897" s="155"/>
      <c r="F897" s="224"/>
      <c r="G897" s="128"/>
      <c r="H897" s="179"/>
      <c r="I897" s="155"/>
    </row>
    <row r="898" spans="1:9">
      <c r="A898" s="226"/>
      <c r="B898" s="155"/>
      <c r="C898" s="169"/>
      <c r="D898" s="155"/>
      <c r="E898" s="155"/>
      <c r="F898" s="224"/>
      <c r="G898" s="128"/>
      <c r="H898" s="179"/>
      <c r="I898" s="155"/>
    </row>
    <row r="899" spans="1:9">
      <c r="A899" s="226"/>
      <c r="B899" s="155"/>
      <c r="C899" s="169"/>
      <c r="D899" s="155"/>
      <c r="E899" s="155"/>
      <c r="F899" s="224"/>
      <c r="G899" s="128"/>
      <c r="H899" s="179"/>
      <c r="I899" s="155"/>
    </row>
    <row r="900" spans="1:9">
      <c r="A900" s="226"/>
      <c r="B900" s="155"/>
      <c r="C900" s="169"/>
      <c r="D900" s="155"/>
      <c r="E900" s="155"/>
      <c r="F900" s="224"/>
      <c r="G900" s="128"/>
      <c r="H900" s="179"/>
      <c r="I900" s="155"/>
    </row>
    <row r="901" spans="1:9">
      <c r="A901" s="226"/>
      <c r="B901" s="155"/>
      <c r="C901" s="169"/>
      <c r="D901" s="155"/>
      <c r="E901" s="155"/>
      <c r="F901" s="224"/>
      <c r="G901" s="128"/>
      <c r="H901" s="179"/>
      <c r="I901" s="155"/>
    </row>
    <row r="902" spans="1:9">
      <c r="A902" s="226"/>
      <c r="B902" s="155"/>
      <c r="C902" s="169"/>
      <c r="D902" s="155"/>
      <c r="E902" s="155"/>
      <c r="F902" s="224"/>
      <c r="G902" s="128"/>
      <c r="H902" s="179"/>
      <c r="I902" s="155"/>
    </row>
    <row r="903" spans="1:9">
      <c r="A903" s="226"/>
      <c r="B903" s="155"/>
      <c r="C903" s="169"/>
      <c r="D903" s="155"/>
      <c r="G903" s="128"/>
      <c r="H903" s="229"/>
    </row>
    <row r="904" spans="1:9">
      <c r="F904" s="231"/>
      <c r="G904" s="232"/>
      <c r="H904" s="233"/>
    </row>
    <row r="951" ht="12.75" customHeight="1"/>
  </sheetData>
  <mergeCells count="2">
    <mergeCell ref="O19:O20"/>
    <mergeCell ref="P19:P20"/>
  </mergeCells>
  <pageMargins left="0.59055118110236227" right="0.19685039370078741" top="0.94488188976377963" bottom="0.86614173228346458" header="0.51181102362204722" footer="0.51181102362204722"/>
  <pageSetup paperSize="9" orientation="portrait" horizontalDpi="300" verticalDpi="300" r:id="rId1"/>
  <headerFooter alignWithMargins="0">
    <oddFooter>&amp;L&amp;6&amp;F . &amp;A&amp;CSeite &amp;P&amp;R&amp;6&amp;D 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8B413-3390-4306-9773-4BCF0E780ED3}">
  <sheetPr codeName="Tabelle13"/>
  <dimension ref="A1:L35"/>
  <sheetViews>
    <sheetView zoomScaleNormal="100" zoomScaleSheetLayoutView="115" workbookViewId="0">
      <selection activeCell="H21" sqref="H21"/>
    </sheetView>
  </sheetViews>
  <sheetFormatPr baseColWidth="10" defaultRowHeight="12.75"/>
  <cols>
    <col min="1" max="1" width="4.5703125" style="700" customWidth="1"/>
    <col min="2" max="2" width="8.5703125" style="700" customWidth="1"/>
    <col min="3" max="3" width="10.5703125" style="700" customWidth="1"/>
    <col min="4" max="4" width="8.5703125" style="700" customWidth="1"/>
    <col min="5" max="5" width="20.5703125" style="700" customWidth="1"/>
    <col min="6" max="8" width="12.5703125" style="700" customWidth="1"/>
    <col min="9" max="9" width="8" style="700" customWidth="1"/>
    <col min="10" max="16384" width="11.42578125" style="700"/>
  </cols>
  <sheetData>
    <row r="1" spans="1:9" ht="26.65" customHeight="1" thickBot="1">
      <c r="A1" s="743">
        <v>6</v>
      </c>
      <c r="B1" s="742" t="s">
        <v>22</v>
      </c>
      <c r="C1" s="741"/>
      <c r="D1" s="740">
        <v>0</v>
      </c>
      <c r="E1" s="739" t="s">
        <v>32</v>
      </c>
      <c r="F1" s="738"/>
      <c r="G1" s="737"/>
      <c r="H1" s="736">
        <v>2000</v>
      </c>
      <c r="I1" s="735">
        <v>1</v>
      </c>
    </row>
    <row r="2" spans="1:9" ht="13.5" thickBot="1">
      <c r="A2" s="734" t="s">
        <v>35</v>
      </c>
      <c r="B2" s="733" t="s">
        <v>16</v>
      </c>
      <c r="C2" s="732" t="s">
        <v>17</v>
      </c>
      <c r="D2" s="732" t="s">
        <v>23</v>
      </c>
      <c r="E2" s="731" t="s">
        <v>20</v>
      </c>
      <c r="F2" s="730" t="s">
        <v>24</v>
      </c>
      <c r="G2" s="729" t="s">
        <v>25</v>
      </c>
      <c r="H2" s="728" t="s">
        <v>26</v>
      </c>
      <c r="I2" s="728" t="s">
        <v>73</v>
      </c>
    </row>
    <row r="3" spans="1:9" ht="33.6" customHeight="1" thickBot="1">
      <c r="A3" s="718"/>
      <c r="B3" s="706"/>
      <c r="C3" s="705"/>
      <c r="D3" s="721"/>
      <c r="E3" s="748"/>
      <c r="F3" s="749"/>
      <c r="G3" s="749"/>
      <c r="H3" s="749"/>
      <c r="I3" s="718"/>
    </row>
    <row r="4" spans="1:9" ht="13.5" thickBot="1">
      <c r="A4" s="718"/>
      <c r="B4" s="706"/>
      <c r="C4" s="727">
        <v>37986</v>
      </c>
      <c r="D4" s="726"/>
      <c r="E4" s="725" t="s">
        <v>27</v>
      </c>
      <c r="F4" s="724">
        <v>0</v>
      </c>
      <c r="G4" s="723">
        <v>0</v>
      </c>
      <c r="H4" s="722">
        <v>0</v>
      </c>
      <c r="I4" s="718"/>
    </row>
    <row r="5" spans="1:9">
      <c r="A5" s="718"/>
      <c r="B5" s="706"/>
      <c r="C5" s="705"/>
      <c r="D5" s="721"/>
      <c r="E5" s="720"/>
      <c r="F5" s="719"/>
      <c r="G5" s="719"/>
      <c r="H5" s="719"/>
      <c r="I5" s="718"/>
    </row>
    <row r="6" spans="1:9">
      <c r="A6" s="718"/>
      <c r="B6" s="706" t="s">
        <v>14</v>
      </c>
      <c r="C6" s="705"/>
      <c r="D6" s="721"/>
      <c r="E6" s="720"/>
      <c r="F6" s="719"/>
      <c r="G6" s="719"/>
      <c r="H6" s="719"/>
      <c r="I6" s="718"/>
    </row>
    <row r="7" spans="1:9">
      <c r="A7" s="703"/>
      <c r="B7" s="706"/>
      <c r="C7" s="717">
        <v>1</v>
      </c>
      <c r="D7" s="716"/>
      <c r="E7" s="715" t="s">
        <v>28</v>
      </c>
      <c r="F7" s="714">
        <f>G7-H7</f>
        <v>0</v>
      </c>
      <c r="G7" s="714">
        <f>SUM(G5:G6)</f>
        <v>0</v>
      </c>
      <c r="H7" s="713">
        <f>SUM(H5:H6)</f>
        <v>0</v>
      </c>
      <c r="I7" s="703"/>
    </row>
    <row r="8" spans="1:9" ht="15">
      <c r="A8" s="703"/>
      <c r="B8" s="706"/>
      <c r="C8" s="712" t="s">
        <v>33</v>
      </c>
      <c r="D8" s="711"/>
      <c r="E8" s="710" t="s">
        <v>27</v>
      </c>
      <c r="F8" s="709">
        <f>F4+F7</f>
        <v>0</v>
      </c>
      <c r="G8" s="708">
        <f>SUM(G4:G6)</f>
        <v>0</v>
      </c>
      <c r="H8" s="707">
        <f>SUM(H4:H6)</f>
        <v>0</v>
      </c>
      <c r="I8" s="703"/>
    </row>
    <row r="9" spans="1:9">
      <c r="A9" s="703"/>
      <c r="B9" s="706"/>
      <c r="C9" s="705"/>
      <c r="D9" s="705"/>
      <c r="I9" s="703"/>
    </row>
    <row r="10" spans="1:9">
      <c r="A10" s="703"/>
      <c r="B10" s="704"/>
      <c r="I10" s="703"/>
    </row>
    <row r="11" spans="1:9" ht="13.5">
      <c r="I11" s="702"/>
    </row>
    <row r="12" spans="1:9">
      <c r="I12" s="701"/>
    </row>
    <row r="13" spans="1:9">
      <c r="I13" s="701"/>
    </row>
    <row r="14" spans="1:9">
      <c r="I14" s="701"/>
    </row>
    <row r="15" spans="1:9">
      <c r="I15" s="701"/>
    </row>
    <row r="16" spans="1:9">
      <c r="I16" s="701"/>
    </row>
    <row r="17" spans="9:9">
      <c r="I17" s="701"/>
    </row>
    <row r="18" spans="9:9">
      <c r="I18" s="701"/>
    </row>
    <row r="28" spans="9:9" ht="12.6" customHeight="1"/>
    <row r="34" spans="12:12">
      <c r="L34" s="502"/>
    </row>
    <row r="35" spans="12:12" ht="15" customHeight="1"/>
  </sheetData>
  <mergeCells count="1">
    <mergeCell ref="E3:H3"/>
  </mergeCells>
  <pageMargins left="0.70866141732283472" right="0.19685039370078741" top="0.78740157480314965" bottom="0.78740157480314965" header="0.51181102362204722" footer="0.51181102362204722"/>
  <pageSetup paperSize="9" orientation="portrait" horizontalDpi="300" verticalDpi="300" r:id="rId1"/>
  <headerFooter alignWithMargins="0">
    <oddFooter>&amp;L&amp;8&amp;F.&amp;A&amp;C&amp;8Seite &amp;P&amp;R&amp;8&amp;D  &amp;T Uhr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D7769-3215-43A0-81E0-39C7ADB76799}">
  <sheetPr codeName="Tabelle121"/>
  <dimension ref="A1:N46"/>
  <sheetViews>
    <sheetView zoomScaleNormal="100" workbookViewId="0">
      <selection activeCell="N13" sqref="N13"/>
    </sheetView>
  </sheetViews>
  <sheetFormatPr baseColWidth="10" defaultRowHeight="12.75"/>
  <cols>
    <col min="1" max="1" width="10.42578125" customWidth="1"/>
    <col min="2" max="2" width="20.7109375" customWidth="1"/>
    <col min="3" max="3" width="10.7109375" customWidth="1"/>
    <col min="4" max="5" width="11.5703125" style="2" customWidth="1"/>
  </cols>
  <sheetData>
    <row r="1" spans="1:14" ht="36.6" customHeight="1">
      <c r="A1" s="750" t="s">
        <v>472</v>
      </c>
      <c r="B1" s="750"/>
      <c r="C1" s="750"/>
      <c r="D1" s="11"/>
      <c r="E1" s="11"/>
    </row>
    <row r="2" spans="1:14" ht="41.65" customHeight="1">
      <c r="A2" s="750" t="s">
        <v>475</v>
      </c>
      <c r="B2" s="750"/>
      <c r="C2" s="750"/>
      <c r="D2" s="11"/>
      <c r="N2" s="16" t="s">
        <v>518</v>
      </c>
    </row>
    <row r="3" spans="1:14" ht="24" customHeight="1">
      <c r="A3" s="751"/>
      <c r="B3" s="752"/>
      <c r="C3" s="752"/>
    </row>
    <row r="4" spans="1:14" ht="24" customHeight="1">
      <c r="A4" s="19"/>
      <c r="B4" s="20"/>
      <c r="C4" s="20"/>
    </row>
    <row r="5" spans="1:14" ht="20.100000000000001" customHeight="1">
      <c r="A5" s="21"/>
      <c r="C5" s="36"/>
    </row>
    <row r="6" spans="1:14" ht="18" customHeight="1">
      <c r="A6" s="25"/>
      <c r="C6" s="46"/>
      <c r="D6" s="23"/>
      <c r="E6" s="24"/>
    </row>
    <row r="7" spans="1:14" ht="18" customHeight="1">
      <c r="A7" s="26"/>
      <c r="B7" s="20"/>
      <c r="C7" s="58"/>
      <c r="D7" s="23"/>
      <c r="E7" s="24"/>
    </row>
    <row r="8" spans="1:14" ht="15" customHeight="1">
      <c r="A8" s="27"/>
      <c r="B8" s="28"/>
      <c r="C8" s="29"/>
      <c r="D8" s="23"/>
      <c r="E8" s="24"/>
    </row>
    <row r="9" spans="1:14" ht="20.100000000000001" customHeight="1">
      <c r="A9" s="55"/>
      <c r="C9" s="753"/>
    </row>
    <row r="10" spans="1:14" ht="24.75" customHeight="1">
      <c r="A10" s="55"/>
      <c r="C10" s="754"/>
      <c r="D10" s="30"/>
      <c r="E10" s="31"/>
    </row>
    <row r="11" spans="1:14" ht="30" customHeight="1">
      <c r="A11" s="55"/>
      <c r="C11" s="754"/>
      <c r="D11" s="30"/>
      <c r="E11" s="31"/>
      <c r="H11" s="16" t="s">
        <v>519</v>
      </c>
      <c r="N11" s="16" t="s">
        <v>524</v>
      </c>
    </row>
    <row r="12" spans="1:14" ht="39.75" customHeight="1">
      <c r="A12" s="29"/>
      <c r="B12" s="29"/>
      <c r="C12" s="29"/>
      <c r="D12" s="30"/>
      <c r="E12" s="31"/>
      <c r="H12" s="16" t="s">
        <v>475</v>
      </c>
      <c r="N12" s="16" t="s">
        <v>475</v>
      </c>
    </row>
    <row r="13" spans="1:14" ht="20.100000000000001" customHeight="1">
      <c r="A13" s="56"/>
      <c r="C13" s="25"/>
      <c r="D13" s="30"/>
      <c r="E13" s="31"/>
    </row>
    <row r="14" spans="1:14" ht="20.100000000000001" customHeight="1">
      <c r="A14" s="54"/>
      <c r="C14" s="25"/>
      <c r="D14" s="30"/>
      <c r="E14" s="31"/>
    </row>
    <row r="15" spans="1:14" ht="20.100000000000001" customHeight="1">
      <c r="A15" s="57"/>
      <c r="C15" s="25"/>
      <c r="D15" s="30"/>
      <c r="E15" s="31"/>
    </row>
    <row r="16" spans="1:14" ht="20.100000000000001" customHeight="1">
      <c r="A16" s="56"/>
      <c r="C16" s="32"/>
      <c r="D16" s="30"/>
      <c r="E16" s="31"/>
    </row>
    <row r="17" spans="1:6" ht="50.1" customHeight="1">
      <c r="A17" s="56"/>
      <c r="C17" s="32"/>
      <c r="D17" s="30"/>
      <c r="E17" s="31"/>
    </row>
    <row r="18" spans="1:6" ht="20.100000000000001" customHeight="1">
      <c r="A18" s="22"/>
      <c r="B18" s="34"/>
      <c r="C18" s="34"/>
      <c r="D18" s="33"/>
      <c r="E18" s="34"/>
      <c r="F18" s="34"/>
    </row>
    <row r="19" spans="1:6" s="34" customFormat="1" ht="20.100000000000001" customHeight="1">
      <c r="A19" s="32"/>
      <c r="B19"/>
      <c r="C19"/>
      <c r="D19" s="30"/>
      <c r="E19" s="31"/>
      <c r="F19"/>
    </row>
    <row r="20" spans="1:6" ht="20.100000000000001" customHeight="1">
      <c r="A20" s="32"/>
      <c r="B20" s="22"/>
      <c r="C20" s="22"/>
      <c r="D20" s="30"/>
      <c r="E20" s="31"/>
    </row>
    <row r="21" spans="1:6" ht="20.100000000000001" customHeight="1">
      <c r="A21" s="32"/>
      <c r="B21" s="22"/>
      <c r="C21" s="22"/>
      <c r="D21" s="30"/>
      <c r="E21" s="31"/>
    </row>
    <row r="22" spans="1:6" ht="50.1" customHeight="1">
      <c r="D22" s="30"/>
      <c r="E22" s="31"/>
    </row>
    <row r="23" spans="1:6" ht="15" customHeight="1">
      <c r="A23" s="36"/>
      <c r="B23" s="494"/>
      <c r="C23" s="495"/>
      <c r="D23" s="30"/>
      <c r="E23" s="31"/>
    </row>
    <row r="24" spans="1:6" ht="15" customHeight="1">
      <c r="A24" s="35"/>
      <c r="C24" s="496"/>
      <c r="D24" s="31"/>
      <c r="E24" s="31"/>
    </row>
    <row r="25" spans="1:6" ht="60" customHeight="1">
      <c r="A25" s="40"/>
      <c r="B25" s="41"/>
      <c r="C25" s="11"/>
      <c r="D25" s="39"/>
      <c r="E25" s="31"/>
    </row>
    <row r="26" spans="1:6" ht="12" customHeight="1">
      <c r="A26" s="40"/>
      <c r="B26" s="41"/>
      <c r="C26" s="11"/>
      <c r="D26" s="42"/>
      <c r="E26" s="42"/>
    </row>
    <row r="27" spans="1:6" ht="12" customHeight="1">
      <c r="A27" s="40"/>
      <c r="B27" s="41"/>
      <c r="C27" s="11"/>
      <c r="D27" s="39"/>
      <c r="E27" s="31"/>
    </row>
    <row r="28" spans="1:6" ht="12" customHeight="1">
      <c r="A28" s="40"/>
      <c r="B28" s="41"/>
      <c r="C28" s="11"/>
      <c r="D28" s="39"/>
      <c r="E28" s="31"/>
    </row>
    <row r="29" spans="1:6" ht="12" customHeight="1">
      <c r="A29" s="497"/>
      <c r="B29" s="498"/>
      <c r="C29" s="498"/>
    </row>
    <row r="30" spans="1:6" ht="20.100000000000001" customHeight="1">
      <c r="A30" s="497"/>
      <c r="B30" s="498"/>
      <c r="C30" s="498"/>
    </row>
    <row r="31" spans="1:6" ht="12" customHeight="1">
      <c r="A31" s="14"/>
      <c r="B31" s="43"/>
      <c r="C31" s="43"/>
      <c r="E31"/>
    </row>
    <row r="32" spans="1:6">
      <c r="A32" s="14"/>
      <c r="B32" s="43"/>
      <c r="C32" s="43"/>
    </row>
    <row r="33" spans="1:5">
      <c r="A33" s="16"/>
      <c r="B33" s="43"/>
      <c r="C33" s="43"/>
    </row>
    <row r="34" spans="1:5">
      <c r="A34" s="16"/>
      <c r="B34" s="43"/>
      <c r="C34" s="43"/>
    </row>
    <row r="35" spans="1:5">
      <c r="A35" s="16"/>
      <c r="B35" s="43"/>
      <c r="C35" s="43"/>
    </row>
    <row r="36" spans="1:5">
      <c r="A36" s="40"/>
      <c r="B36" s="43"/>
      <c r="C36" s="43"/>
      <c r="D36" s="41"/>
      <c r="E36" s="41"/>
    </row>
    <row r="37" spans="1:5" ht="15.75">
      <c r="A37" s="35"/>
      <c r="B37" s="51"/>
      <c r="C37" s="51"/>
      <c r="D37" s="41"/>
      <c r="E37" s="41"/>
    </row>
    <row r="38" spans="1:5" ht="15" customHeight="1">
      <c r="A38" s="35"/>
      <c r="B38" s="52"/>
      <c r="C38" s="53"/>
      <c r="D38" s="41"/>
      <c r="E38" s="41"/>
    </row>
    <row r="39" spans="1:5" ht="15" customHeight="1">
      <c r="A39" s="35"/>
      <c r="B39" s="52"/>
      <c r="C39" s="53"/>
      <c r="D39" s="41"/>
      <c r="E39" s="41"/>
    </row>
    <row r="40" spans="1:5" ht="15" customHeight="1">
      <c r="A40" s="35"/>
      <c r="B40" s="52"/>
      <c r="C40" s="53"/>
      <c r="D40" s="41"/>
      <c r="E40" s="41"/>
    </row>
    <row r="41" spans="1:5" ht="15" customHeight="1">
      <c r="A41" s="40"/>
      <c r="B41" s="40"/>
      <c r="C41" s="44"/>
      <c r="D41" s="41"/>
      <c r="E41" s="41"/>
    </row>
    <row r="42" spans="1:5" ht="12" customHeight="1">
      <c r="A42" s="27"/>
    </row>
    <row r="43" spans="1:5" ht="20.100000000000001" customHeight="1">
      <c r="A43" s="45"/>
    </row>
    <row r="44" spans="1:5" ht="30" customHeight="1">
      <c r="A44" s="45"/>
    </row>
    <row r="45" spans="1:5" ht="24.75" customHeight="1">
      <c r="A45" s="45"/>
    </row>
    <row r="46" spans="1:5" ht="35.1" customHeight="1"/>
  </sheetData>
  <mergeCells count="4">
    <mergeCell ref="A1:C1"/>
    <mergeCell ref="A2:C2"/>
    <mergeCell ref="A3:C3"/>
    <mergeCell ref="C9:C11"/>
  </mergeCells>
  <pageMargins left="0.98425196850393704" right="0.19685039370078741" top="0.59055118110236227" bottom="0.59055118110236227" header="0.51181102362204722" footer="0.39370078740157483"/>
  <pageSetup paperSize="9" scale="91" fitToHeight="2" orientation="portrait" horizontalDpi="300" verticalDpi="300" r:id="rId1"/>
  <headerFooter alignWithMargins="0">
    <oddFooter xml:space="preserve">&amp;R&amp;5&amp;F     &amp;A  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FC09-80D0-40C3-9FE4-99BE9C1C558B}">
  <sheetPr codeName="Tabelle139">
    <pageSetUpPr fitToPage="1"/>
  </sheetPr>
  <dimension ref="A1:Q88"/>
  <sheetViews>
    <sheetView zoomScaleNormal="100" zoomScaleSheetLayoutView="100" workbookViewId="0">
      <selection activeCell="O56" sqref="O56"/>
    </sheetView>
  </sheetViews>
  <sheetFormatPr baseColWidth="10" defaultColWidth="11.5703125" defaultRowHeight="12.75"/>
  <cols>
    <col min="1" max="1" width="4.42578125" style="127" customWidth="1"/>
    <col min="2" max="2" width="6.5703125" style="127" customWidth="1"/>
    <col min="3" max="3" width="32.42578125" style="127" customWidth="1"/>
    <col min="4" max="4" width="9.42578125" style="127" customWidth="1"/>
    <col min="5" max="7" width="13.7109375" style="127" customWidth="1"/>
    <col min="8" max="9" width="13.7109375" style="127" hidden="1" customWidth="1"/>
    <col min="10" max="13" width="13.7109375" style="127" customWidth="1"/>
    <col min="14" max="14" width="11.28515625" style="128" customWidth="1"/>
    <col min="15" max="15" width="23.28515625" style="128" customWidth="1"/>
    <col min="16" max="16384" width="11.5703125" style="127"/>
  </cols>
  <sheetData>
    <row r="1" spans="1:17" ht="12" customHeight="1">
      <c r="A1" s="395"/>
      <c r="B1" s="389"/>
      <c r="C1" s="423"/>
      <c r="D1" s="386"/>
      <c r="E1" s="386"/>
      <c r="F1" s="422"/>
      <c r="G1" s="418"/>
      <c r="H1" s="421"/>
      <c r="I1" s="420"/>
      <c r="J1" s="419"/>
      <c r="K1" s="418"/>
      <c r="L1" s="418"/>
      <c r="M1" s="418"/>
      <c r="N1" s="267"/>
      <c r="O1" s="142"/>
      <c r="Q1" s="142"/>
    </row>
    <row r="2" spans="1:17" ht="20.25" customHeight="1">
      <c r="A2" s="395"/>
      <c r="B2" s="300" t="s">
        <v>31</v>
      </c>
      <c r="C2" s="301"/>
      <c r="D2" s="261"/>
      <c r="E2" s="425"/>
      <c r="F2" s="424"/>
      <c r="G2" s="302" t="s">
        <v>340</v>
      </c>
      <c r="H2" s="303"/>
      <c r="I2" s="302"/>
      <c r="J2" s="302"/>
      <c r="K2" s="302" t="s">
        <v>29</v>
      </c>
      <c r="L2" s="302"/>
      <c r="M2" s="302">
        <v>2025</v>
      </c>
      <c r="N2" s="267"/>
      <c r="O2" s="142"/>
      <c r="Q2" s="142"/>
    </row>
    <row r="3" spans="1:17" ht="11.65" customHeight="1" thickBot="1">
      <c r="A3" s="395">
        <v>51</v>
      </c>
      <c r="B3" s="417"/>
      <c r="C3" s="416"/>
      <c r="D3" s="415"/>
      <c r="E3" s="414"/>
      <c r="F3" s="413"/>
      <c r="G3" s="385"/>
      <c r="H3" s="412"/>
      <c r="I3" s="391"/>
      <c r="J3" s="391"/>
      <c r="K3" s="390"/>
      <c r="L3" s="390"/>
      <c r="M3" s="390"/>
      <c r="N3" s="267"/>
      <c r="O3" s="142"/>
      <c r="Q3" s="142"/>
    </row>
    <row r="4" spans="1:17" ht="20.25" customHeight="1">
      <c r="A4" s="370"/>
      <c r="B4" s="304" t="s">
        <v>10</v>
      </c>
      <c r="C4" s="305" t="s">
        <v>341</v>
      </c>
      <c r="D4" s="306" t="s">
        <v>12</v>
      </c>
      <c r="E4" s="307"/>
      <c r="F4" s="308" t="s">
        <v>99</v>
      </c>
      <c r="G4" s="309"/>
      <c r="H4" s="310"/>
      <c r="I4" s="311"/>
      <c r="J4" s="312" t="s">
        <v>103</v>
      </c>
      <c r="K4" s="313"/>
      <c r="L4" s="311" t="s">
        <v>356</v>
      </c>
      <c r="M4" s="312"/>
      <c r="N4" s="426" t="s">
        <v>432</v>
      </c>
      <c r="O4" s="142"/>
      <c r="Q4" s="142"/>
    </row>
    <row r="5" spans="1:17" ht="20.25" customHeight="1" thickBot="1">
      <c r="A5" s="371"/>
      <c r="B5" s="148"/>
      <c r="C5" s="234"/>
      <c r="D5" s="241"/>
      <c r="E5" s="151"/>
      <c r="F5" s="235"/>
      <c r="G5" s="241"/>
      <c r="H5" s="150"/>
      <c r="I5" s="141"/>
      <c r="J5" s="143"/>
      <c r="N5" s="427" t="s">
        <v>433</v>
      </c>
      <c r="O5" s="142"/>
      <c r="Q5" s="142"/>
    </row>
    <row r="6" spans="1:17" ht="20.25" customHeight="1">
      <c r="A6" s="396">
        <v>1</v>
      </c>
      <c r="B6" s="387" t="s">
        <v>342</v>
      </c>
      <c r="C6" s="403"/>
      <c r="D6" s="402"/>
      <c r="E6" s="388" t="s">
        <v>343</v>
      </c>
      <c r="F6" s="401" t="s">
        <v>344</v>
      </c>
      <c r="G6" s="455" t="s">
        <v>24</v>
      </c>
      <c r="H6" s="400" t="s">
        <v>343</v>
      </c>
      <c r="I6" s="399" t="s">
        <v>344</v>
      </c>
      <c r="J6" s="398" t="s">
        <v>24</v>
      </c>
      <c r="K6" s="388" t="s">
        <v>343</v>
      </c>
      <c r="L6" s="397" t="s">
        <v>345</v>
      </c>
      <c r="M6" s="458" t="s">
        <v>24</v>
      </c>
      <c r="N6" s="268"/>
      <c r="O6" s="265"/>
      <c r="Q6" s="135"/>
    </row>
    <row r="7" spans="1:17" ht="18" customHeight="1">
      <c r="A7" s="396"/>
      <c r="B7" s="242"/>
      <c r="C7" s="442"/>
      <c r="D7" s="285"/>
      <c r="E7" s="271"/>
      <c r="F7" s="272"/>
      <c r="G7" s="374"/>
      <c r="H7" s="273"/>
      <c r="I7" s="274"/>
      <c r="J7" s="275"/>
      <c r="K7" s="276"/>
      <c r="L7" s="277"/>
      <c r="M7" s="459"/>
      <c r="N7" s="269"/>
      <c r="O7" s="266"/>
      <c r="Q7" s="135"/>
    </row>
    <row r="8" spans="1:17" ht="20.25" customHeight="1" thickBot="1">
      <c r="A8" s="396"/>
      <c r="B8" s="243"/>
      <c r="C8" s="443"/>
      <c r="D8" s="285"/>
      <c r="E8" s="278"/>
      <c r="F8" s="279"/>
      <c r="G8" s="374"/>
      <c r="H8" s="273"/>
      <c r="I8" s="280"/>
      <c r="J8" s="275"/>
      <c r="K8" s="276"/>
      <c r="L8" s="281"/>
      <c r="M8" s="460"/>
      <c r="N8" s="269"/>
      <c r="O8" s="266"/>
      <c r="Q8" s="135"/>
    </row>
    <row r="9" spans="1:17" ht="20.25" customHeight="1" thickBot="1">
      <c r="A9" s="395"/>
      <c r="B9" s="394" t="s">
        <v>93</v>
      </c>
      <c r="C9" s="447"/>
      <c r="D9" s="392"/>
      <c r="E9" s="289">
        <f t="shared" ref="E9:M9" si="0">SUM(E7:E8)</f>
        <v>0</v>
      </c>
      <c r="F9" s="287">
        <f t="shared" si="0"/>
        <v>0</v>
      </c>
      <c r="G9" s="288">
        <f t="shared" si="0"/>
        <v>0</v>
      </c>
      <c r="H9" s="286">
        <f t="shared" si="0"/>
        <v>0</v>
      </c>
      <c r="I9" s="287">
        <f t="shared" si="0"/>
        <v>0</v>
      </c>
      <c r="J9" s="288">
        <f t="shared" si="0"/>
        <v>0</v>
      </c>
      <c r="K9" s="282">
        <f t="shared" si="0"/>
        <v>0</v>
      </c>
      <c r="L9" s="283">
        <f t="shared" si="0"/>
        <v>0</v>
      </c>
      <c r="M9" s="284">
        <f t="shared" si="0"/>
        <v>0</v>
      </c>
      <c r="N9" s="269"/>
      <c r="O9" s="263"/>
      <c r="Q9" s="135"/>
    </row>
    <row r="10" spans="1:17" ht="20.25" customHeight="1" thickBot="1">
      <c r="A10" s="370"/>
      <c r="B10" s="147"/>
      <c r="C10" s="444"/>
      <c r="D10" s="244"/>
      <c r="E10" s="270"/>
      <c r="F10" s="236"/>
      <c r="G10" s="241"/>
      <c r="H10" s="133"/>
      <c r="I10" s="244"/>
      <c r="J10" s="133"/>
      <c r="K10" s="133"/>
      <c r="L10" s="270"/>
      <c r="M10" s="236"/>
      <c r="N10" s="269"/>
      <c r="O10" s="263"/>
      <c r="Q10" s="135"/>
    </row>
    <row r="11" spans="1:17" ht="10.15" customHeight="1">
      <c r="A11" s="396">
        <v>6</v>
      </c>
      <c r="B11" s="387" t="s">
        <v>346</v>
      </c>
      <c r="C11" s="445"/>
      <c r="D11" s="402"/>
      <c r="E11" s="388" t="s">
        <v>343</v>
      </c>
      <c r="F11" s="401" t="s">
        <v>344</v>
      </c>
      <c r="G11" s="455" t="s">
        <v>24</v>
      </c>
      <c r="H11" s="400" t="s">
        <v>343</v>
      </c>
      <c r="I11" s="399" t="s">
        <v>344</v>
      </c>
      <c r="J11" s="398" t="s">
        <v>24</v>
      </c>
      <c r="K11" s="388" t="s">
        <v>343</v>
      </c>
      <c r="L11" s="397" t="s">
        <v>345</v>
      </c>
      <c r="M11" s="458" t="s">
        <v>24</v>
      </c>
      <c r="N11" s="269"/>
      <c r="O11" s="265"/>
      <c r="Q11" s="135"/>
    </row>
    <row r="12" spans="1:17" ht="20.25" customHeight="1">
      <c r="A12" s="396"/>
      <c r="B12" s="242"/>
      <c r="C12" s="442"/>
      <c r="D12" s="285"/>
      <c r="E12" s="271"/>
      <c r="F12" s="272"/>
      <c r="G12" s="374"/>
      <c r="H12" s="273"/>
      <c r="I12" s="274"/>
      <c r="J12" s="275"/>
      <c r="K12" s="276"/>
      <c r="L12" s="277"/>
      <c r="M12" s="459"/>
      <c r="N12" s="269"/>
      <c r="O12" s="266"/>
      <c r="Q12" s="135"/>
    </row>
    <row r="13" spans="1:17" ht="20.25" customHeight="1" thickBot="1">
      <c r="A13" s="396"/>
      <c r="B13" s="243"/>
      <c r="C13" s="443"/>
      <c r="D13" s="285"/>
      <c r="E13" s="278"/>
      <c r="F13" s="279"/>
      <c r="G13" s="374"/>
      <c r="H13" s="273"/>
      <c r="I13" s="280"/>
      <c r="J13" s="275"/>
      <c r="K13" s="276"/>
      <c r="L13" s="281"/>
      <c r="M13" s="460"/>
      <c r="N13" s="269"/>
      <c r="O13" s="127"/>
    </row>
    <row r="14" spans="1:17" ht="20.25" customHeight="1" thickBot="1">
      <c r="A14" s="395"/>
      <c r="B14" s="394" t="s">
        <v>348</v>
      </c>
      <c r="C14" s="447"/>
      <c r="D14" s="392"/>
      <c r="E14" s="289">
        <f t="shared" ref="E14:M14" si="1">SUM(E12:E13)</f>
        <v>0</v>
      </c>
      <c r="F14" s="287">
        <f t="shared" si="1"/>
        <v>0</v>
      </c>
      <c r="G14" s="288">
        <f t="shared" si="1"/>
        <v>0</v>
      </c>
      <c r="H14" s="286">
        <f t="shared" si="1"/>
        <v>0</v>
      </c>
      <c r="I14" s="287">
        <f t="shared" si="1"/>
        <v>0</v>
      </c>
      <c r="J14" s="288">
        <f t="shared" si="1"/>
        <v>0</v>
      </c>
      <c r="K14" s="282">
        <f t="shared" si="1"/>
        <v>0</v>
      </c>
      <c r="L14" s="283">
        <f t="shared" si="1"/>
        <v>0</v>
      </c>
      <c r="M14" s="284">
        <f t="shared" si="1"/>
        <v>0</v>
      </c>
      <c r="N14" s="269"/>
      <c r="O14" s="127"/>
    </row>
    <row r="15" spans="1:17" ht="20.25" customHeight="1" thickBot="1">
      <c r="A15" s="370"/>
      <c r="B15" s="149"/>
      <c r="C15" s="446"/>
      <c r="D15" s="244"/>
      <c r="E15" s="153"/>
      <c r="F15" s="237"/>
      <c r="G15" s="241"/>
      <c r="H15" s="152"/>
      <c r="I15" s="244"/>
      <c r="J15" s="152"/>
      <c r="K15" s="152"/>
      <c r="L15" s="153"/>
      <c r="M15" s="461"/>
      <c r="N15" s="290"/>
      <c r="O15" s="127"/>
    </row>
    <row r="16" spans="1:17" ht="19.899999999999999" customHeight="1">
      <c r="A16" s="395">
        <v>2</v>
      </c>
      <c r="B16" s="387" t="s">
        <v>200</v>
      </c>
      <c r="C16" s="448"/>
      <c r="D16" s="402"/>
      <c r="E16" s="388" t="s">
        <v>343</v>
      </c>
      <c r="F16" s="401" t="s">
        <v>344</v>
      </c>
      <c r="G16" s="455" t="s">
        <v>24</v>
      </c>
      <c r="H16" s="400" t="s">
        <v>343</v>
      </c>
      <c r="I16" s="399" t="s">
        <v>344</v>
      </c>
      <c r="J16" s="398" t="s">
        <v>24</v>
      </c>
      <c r="K16" s="388" t="s">
        <v>343</v>
      </c>
      <c r="L16" s="397" t="s">
        <v>345</v>
      </c>
      <c r="M16" s="458" t="s">
        <v>24</v>
      </c>
      <c r="N16" s="269"/>
      <c r="O16" s="127"/>
    </row>
    <row r="17" spans="1:15" ht="16.149999999999999" customHeight="1">
      <c r="A17" s="395"/>
      <c r="B17" s="242"/>
      <c r="C17" s="442"/>
      <c r="D17" s="285"/>
      <c r="E17" s="271"/>
      <c r="F17" s="272"/>
      <c r="G17" s="374"/>
      <c r="H17" s="273"/>
      <c r="I17" s="274"/>
      <c r="J17" s="275"/>
      <c r="K17" s="276"/>
      <c r="L17" s="277"/>
      <c r="M17" s="459"/>
      <c r="N17" s="269"/>
      <c r="O17" s="127"/>
    </row>
    <row r="18" spans="1:15" ht="20.25" customHeight="1" thickBot="1">
      <c r="A18" s="395"/>
      <c r="B18" s="243"/>
      <c r="C18" s="443"/>
      <c r="D18" s="285"/>
      <c r="E18" s="278"/>
      <c r="F18" s="279"/>
      <c r="G18" s="374"/>
      <c r="H18" s="273"/>
      <c r="I18" s="280"/>
      <c r="J18" s="275"/>
      <c r="K18" s="276"/>
      <c r="L18" s="281"/>
      <c r="M18" s="460"/>
      <c r="N18" s="269"/>
      <c r="O18" s="127"/>
    </row>
    <row r="19" spans="1:15" ht="20.25" customHeight="1" thickBot="1">
      <c r="A19" s="395"/>
      <c r="B19" s="394" t="s">
        <v>203</v>
      </c>
      <c r="C19" s="447"/>
      <c r="D19" s="392"/>
      <c r="E19" s="289">
        <f t="shared" ref="E19:M19" si="2">SUM(E17:E18)</f>
        <v>0</v>
      </c>
      <c r="F19" s="287">
        <f t="shared" si="2"/>
        <v>0</v>
      </c>
      <c r="G19" s="288">
        <f t="shared" si="2"/>
        <v>0</v>
      </c>
      <c r="H19" s="286">
        <f t="shared" si="2"/>
        <v>0</v>
      </c>
      <c r="I19" s="287">
        <f t="shared" si="2"/>
        <v>0</v>
      </c>
      <c r="J19" s="288">
        <f t="shared" si="2"/>
        <v>0</v>
      </c>
      <c r="K19" s="282">
        <f t="shared" si="2"/>
        <v>0</v>
      </c>
      <c r="L19" s="283">
        <f t="shared" si="2"/>
        <v>0</v>
      </c>
      <c r="M19" s="284">
        <f t="shared" si="2"/>
        <v>0</v>
      </c>
      <c r="N19" s="269"/>
      <c r="O19" s="127"/>
    </row>
    <row r="20" spans="1:15" ht="20.25" customHeight="1" thickBot="1">
      <c r="A20" s="370"/>
      <c r="B20" s="149"/>
      <c r="C20" s="444"/>
      <c r="D20" s="244"/>
      <c r="E20" s="138"/>
      <c r="F20" s="236"/>
      <c r="G20" s="241"/>
      <c r="H20" s="133"/>
      <c r="I20" s="244"/>
      <c r="J20" s="133"/>
      <c r="K20" s="133"/>
      <c r="L20" s="138"/>
      <c r="M20" s="457"/>
      <c r="N20" s="290"/>
      <c r="O20" s="127"/>
    </row>
    <row r="21" spans="1:15" ht="20.25" customHeight="1">
      <c r="A21" s="395">
        <v>3</v>
      </c>
      <c r="B21" s="387" t="s">
        <v>226</v>
      </c>
      <c r="C21" s="448"/>
      <c r="D21" s="402"/>
      <c r="E21" s="388" t="s">
        <v>343</v>
      </c>
      <c r="F21" s="401" t="s">
        <v>344</v>
      </c>
      <c r="G21" s="455" t="s">
        <v>24</v>
      </c>
      <c r="H21" s="400" t="s">
        <v>343</v>
      </c>
      <c r="I21" s="399" t="s">
        <v>344</v>
      </c>
      <c r="J21" s="398" t="s">
        <v>24</v>
      </c>
      <c r="K21" s="388" t="s">
        <v>343</v>
      </c>
      <c r="L21" s="397" t="s">
        <v>345</v>
      </c>
      <c r="M21" s="458" t="s">
        <v>24</v>
      </c>
      <c r="N21" s="269"/>
      <c r="O21" s="127"/>
    </row>
    <row r="22" spans="1:15" ht="20.25" customHeight="1">
      <c r="A22" s="395"/>
      <c r="B22" s="242"/>
      <c r="C22" s="442"/>
      <c r="D22" s="285"/>
      <c r="E22" s="271"/>
      <c r="F22" s="272"/>
      <c r="G22" s="374"/>
      <c r="H22" s="273"/>
      <c r="I22" s="274"/>
      <c r="J22" s="275"/>
      <c r="K22" s="276"/>
      <c r="L22" s="277"/>
      <c r="M22" s="459"/>
      <c r="N22" s="269"/>
      <c r="O22" s="127"/>
    </row>
    <row r="23" spans="1:15" ht="20.25" customHeight="1" thickBot="1">
      <c r="A23" s="395"/>
      <c r="B23" s="243"/>
      <c r="C23" s="443"/>
      <c r="D23" s="285"/>
      <c r="E23" s="278"/>
      <c r="F23" s="279"/>
      <c r="G23" s="374"/>
      <c r="H23" s="273"/>
      <c r="I23" s="280"/>
      <c r="J23" s="275"/>
      <c r="K23" s="276"/>
      <c r="L23" s="281"/>
      <c r="M23" s="460"/>
      <c r="N23" s="269"/>
      <c r="O23" s="127"/>
    </row>
    <row r="24" spans="1:15" ht="20.25" customHeight="1" thickBot="1">
      <c r="A24" s="395"/>
      <c r="B24" s="394" t="s">
        <v>347</v>
      </c>
      <c r="C24" s="447"/>
      <c r="D24" s="392"/>
      <c r="E24" s="289">
        <f t="shared" ref="E24:M24" si="3">SUM(E22:E23)</f>
        <v>0</v>
      </c>
      <c r="F24" s="287">
        <f t="shared" si="3"/>
        <v>0</v>
      </c>
      <c r="G24" s="288">
        <f t="shared" si="3"/>
        <v>0</v>
      </c>
      <c r="H24" s="286">
        <f t="shared" si="3"/>
        <v>0</v>
      </c>
      <c r="I24" s="287">
        <f t="shared" si="3"/>
        <v>0</v>
      </c>
      <c r="J24" s="288">
        <f t="shared" si="3"/>
        <v>0</v>
      </c>
      <c r="K24" s="282">
        <f t="shared" si="3"/>
        <v>0</v>
      </c>
      <c r="L24" s="283">
        <f t="shared" si="3"/>
        <v>0</v>
      </c>
      <c r="M24" s="284">
        <f t="shared" si="3"/>
        <v>0</v>
      </c>
      <c r="N24" s="269"/>
      <c r="O24" s="127"/>
    </row>
    <row r="25" spans="1:15" ht="20.65" customHeight="1" thickBot="1">
      <c r="A25" s="370"/>
      <c r="B25" s="149"/>
      <c r="C25" s="236"/>
      <c r="D25" s="244"/>
      <c r="E25" s="138"/>
      <c r="F25" s="236"/>
      <c r="G25" s="241"/>
      <c r="H25" s="132"/>
      <c r="I25" s="139"/>
      <c r="J25" s="140"/>
      <c r="K25" s="139"/>
      <c r="N25" s="127"/>
      <c r="O25" s="127"/>
    </row>
    <row r="26" spans="1:15" ht="20.25" customHeight="1" thickBot="1">
      <c r="A26" s="395">
        <v>12</v>
      </c>
      <c r="B26" s="387" t="s">
        <v>349</v>
      </c>
      <c r="C26" s="403"/>
      <c r="D26" s="314"/>
      <c r="E26" s="411" t="s">
        <v>357</v>
      </c>
      <c r="F26" s="401"/>
      <c r="G26" s="456">
        <f>G9</f>
        <v>0</v>
      </c>
      <c r="H26" s="410" t="s">
        <v>352</v>
      </c>
      <c r="I26" s="399"/>
      <c r="J26" s="291">
        <f>M9-G9</f>
        <v>0</v>
      </c>
      <c r="K26" s="388" t="s">
        <v>351</v>
      </c>
      <c r="L26" s="409"/>
      <c r="M26" s="291">
        <f>M9</f>
        <v>0</v>
      </c>
      <c r="N26" s="127"/>
      <c r="O26" s="127"/>
    </row>
    <row r="27" spans="1:15" ht="20.25" customHeight="1" thickBot="1">
      <c r="A27" s="395"/>
      <c r="B27" s="394" t="s">
        <v>350</v>
      </c>
      <c r="C27" s="393"/>
      <c r="D27" s="315"/>
      <c r="E27" s="408" t="s">
        <v>358</v>
      </c>
      <c r="F27" s="406"/>
      <c r="G27" s="288"/>
      <c r="H27" s="407" t="s">
        <v>352</v>
      </c>
      <c r="I27" s="406"/>
      <c r="J27" s="288">
        <f>M27-G27</f>
        <v>0</v>
      </c>
      <c r="K27" s="405" t="s">
        <v>351</v>
      </c>
      <c r="L27" s="404"/>
      <c r="M27" s="288">
        <f>M9</f>
        <v>0</v>
      </c>
      <c r="N27" s="127"/>
      <c r="O27" s="127"/>
    </row>
    <row r="28" spans="1:15" ht="20.25" customHeight="1" thickBot="1">
      <c r="A28" s="370"/>
      <c r="B28" s="148"/>
      <c r="C28" s="236"/>
      <c r="D28" s="244"/>
      <c r="E28" s="133"/>
      <c r="F28" s="236"/>
      <c r="G28" s="241"/>
      <c r="H28" s="132"/>
      <c r="I28" s="130"/>
      <c r="J28" s="131"/>
      <c r="K28" s="130"/>
      <c r="N28" s="127"/>
      <c r="O28" s="127"/>
    </row>
    <row r="29" spans="1:15" ht="20.25" customHeight="1">
      <c r="A29" s="127">
        <v>4</v>
      </c>
      <c r="B29" s="536" t="s">
        <v>201</v>
      </c>
      <c r="C29" s="445"/>
      <c r="D29" s="314"/>
      <c r="E29" s="537" t="s">
        <v>343</v>
      </c>
      <c r="F29" s="538" t="s">
        <v>344</v>
      </c>
      <c r="G29" s="539" t="s">
        <v>24</v>
      </c>
      <c r="H29" s="540" t="s">
        <v>343</v>
      </c>
      <c r="I29" s="541" t="s">
        <v>344</v>
      </c>
      <c r="J29" s="542" t="s">
        <v>24</v>
      </c>
      <c r="K29" s="537" t="s">
        <v>343</v>
      </c>
      <c r="L29" s="543" t="s">
        <v>345</v>
      </c>
      <c r="M29" s="575" t="s">
        <v>24</v>
      </c>
      <c r="N29" s="396"/>
    </row>
    <row r="30" spans="1:15" ht="20.25" customHeight="1">
      <c r="B30" s="545"/>
      <c r="C30" s="442"/>
      <c r="D30" s="546"/>
      <c r="E30" s="547"/>
      <c r="F30" s="548"/>
      <c r="G30" s="549"/>
      <c r="H30" s="550"/>
      <c r="I30" s="551"/>
      <c r="J30" s="549"/>
      <c r="K30" s="552"/>
      <c r="L30" s="553"/>
      <c r="M30" s="576"/>
      <c r="N30" s="396"/>
    </row>
    <row r="31" spans="1:15" ht="20.25" customHeight="1" thickBot="1">
      <c r="B31" s="555"/>
      <c r="C31" s="443"/>
      <c r="D31" s="546"/>
      <c r="E31" s="556"/>
      <c r="F31" s="557"/>
      <c r="G31" s="549"/>
      <c r="H31" s="550"/>
      <c r="I31" s="558"/>
      <c r="J31" s="549"/>
      <c r="K31" s="552"/>
      <c r="L31" s="559"/>
      <c r="M31" s="577"/>
      <c r="N31" s="396"/>
    </row>
    <row r="32" spans="1:15" ht="20.25" customHeight="1" thickBot="1">
      <c r="B32" s="561" t="s">
        <v>202</v>
      </c>
      <c r="C32" s="562"/>
      <c r="D32" s="315"/>
      <c r="E32" s="289">
        <f t="shared" ref="E32:M32" si="4">SUM(E30:E31)</f>
        <v>0</v>
      </c>
      <c r="F32" s="287">
        <f t="shared" si="4"/>
        <v>0</v>
      </c>
      <c r="G32" s="288">
        <f t="shared" si="4"/>
        <v>0</v>
      </c>
      <c r="H32" s="286">
        <f t="shared" si="4"/>
        <v>0</v>
      </c>
      <c r="I32" s="287">
        <f t="shared" si="4"/>
        <v>0</v>
      </c>
      <c r="J32" s="288">
        <f t="shared" si="4"/>
        <v>0</v>
      </c>
      <c r="K32" s="282">
        <f t="shared" si="4"/>
        <v>0</v>
      </c>
      <c r="L32" s="283" t="s">
        <v>509</v>
      </c>
      <c r="M32" s="288">
        <f t="shared" si="4"/>
        <v>0</v>
      </c>
      <c r="N32" s="395"/>
    </row>
    <row r="33" spans="1:15" ht="20.25" customHeight="1" thickBot="1">
      <c r="A33" s="265"/>
      <c r="B33" s="444"/>
      <c r="C33" s="290"/>
      <c r="D33" s="136"/>
      <c r="E33" s="531"/>
      <c r="F33" s="290"/>
      <c r="G33" s="263"/>
      <c r="H33" s="290"/>
      <c r="I33" s="263"/>
      <c r="J33" s="263"/>
      <c r="K33" s="136"/>
      <c r="L33" s="531"/>
      <c r="M33" s="370"/>
      <c r="N33" s="149"/>
      <c r="O33" s="127"/>
    </row>
    <row r="34" spans="1:15" ht="20.25" customHeight="1">
      <c r="A34" s="127">
        <v>5</v>
      </c>
      <c r="B34" s="536" t="s">
        <v>227</v>
      </c>
      <c r="C34" s="445"/>
      <c r="D34" s="314"/>
      <c r="E34" s="537" t="s">
        <v>343</v>
      </c>
      <c r="F34" s="538" t="s">
        <v>344</v>
      </c>
      <c r="G34" s="539" t="s">
        <v>24</v>
      </c>
      <c r="H34" s="540" t="s">
        <v>343</v>
      </c>
      <c r="I34" s="541" t="s">
        <v>344</v>
      </c>
      <c r="J34" s="542" t="s">
        <v>24</v>
      </c>
      <c r="K34" s="537" t="s">
        <v>343</v>
      </c>
      <c r="L34" s="543" t="s">
        <v>345</v>
      </c>
      <c r="M34" s="575" t="s">
        <v>24</v>
      </c>
      <c r="N34" s="372"/>
    </row>
    <row r="35" spans="1:15" ht="20.25" customHeight="1">
      <c r="B35" s="545"/>
      <c r="C35" s="442"/>
      <c r="D35" s="546"/>
      <c r="E35" s="547"/>
      <c r="F35" s="548"/>
      <c r="G35" s="549"/>
      <c r="H35" s="550"/>
      <c r="I35" s="551"/>
      <c r="J35" s="549"/>
      <c r="K35" s="552"/>
      <c r="L35" s="553"/>
      <c r="M35" s="576"/>
      <c r="N35" s="372"/>
    </row>
    <row r="36" spans="1:15" ht="20.25" customHeight="1" thickBot="1">
      <c r="B36" s="555"/>
      <c r="C36" s="443"/>
      <c r="D36" s="546"/>
      <c r="E36" s="556"/>
      <c r="F36" s="557"/>
      <c r="G36" s="549"/>
      <c r="H36" s="550"/>
      <c r="I36" s="558"/>
      <c r="J36" s="549"/>
      <c r="K36" s="552"/>
      <c r="L36" s="559"/>
      <c r="M36" s="577"/>
      <c r="N36" s="372"/>
    </row>
    <row r="37" spans="1:15" ht="20.25" customHeight="1" thickBot="1">
      <c r="B37" s="561" t="s">
        <v>353</v>
      </c>
      <c r="C37" s="562"/>
      <c r="D37" s="315"/>
      <c r="E37" s="289">
        <f t="shared" ref="E37:M37" si="5">SUM(E35:E36)</f>
        <v>0</v>
      </c>
      <c r="F37" s="287">
        <f t="shared" si="5"/>
        <v>0</v>
      </c>
      <c r="G37" s="288">
        <f t="shared" si="5"/>
        <v>0</v>
      </c>
      <c r="H37" s="286">
        <f t="shared" si="5"/>
        <v>0</v>
      </c>
      <c r="I37" s="287">
        <f t="shared" si="5"/>
        <v>0</v>
      </c>
      <c r="J37" s="288">
        <f t="shared" si="5"/>
        <v>0</v>
      </c>
      <c r="K37" s="282">
        <f t="shared" si="5"/>
        <v>0</v>
      </c>
      <c r="L37" s="283">
        <f t="shared" si="5"/>
        <v>0</v>
      </c>
      <c r="M37" s="288">
        <f t="shared" si="5"/>
        <v>0</v>
      </c>
      <c r="N37" s="372"/>
    </row>
    <row r="38" spans="1:15" ht="20.25" customHeight="1">
      <c r="B38" s="697"/>
      <c r="C38" s="694"/>
      <c r="D38" s="698"/>
      <c r="E38" s="695"/>
      <c r="F38" s="696"/>
      <c r="G38" s="696"/>
      <c r="H38" s="696"/>
      <c r="I38" s="696"/>
      <c r="J38" s="696"/>
      <c r="K38" s="696"/>
      <c r="L38" s="695"/>
      <c r="M38" s="696"/>
      <c r="N38" s="372"/>
    </row>
    <row r="39" spans="1:15" ht="20.25" customHeight="1" thickBot="1">
      <c r="A39" s="370">
        <v>13</v>
      </c>
      <c r="B39" s="683" t="s">
        <v>359</v>
      </c>
      <c r="C39" s="684"/>
      <c r="D39" s="685"/>
      <c r="E39" s="686" t="s">
        <v>357</v>
      </c>
      <c r="F39" s="687"/>
      <c r="G39" s="688">
        <f>G22</f>
        <v>0</v>
      </c>
      <c r="H39" s="689" t="s">
        <v>352</v>
      </c>
      <c r="I39" s="690"/>
      <c r="J39" s="691">
        <f>M39-G39</f>
        <v>0</v>
      </c>
      <c r="K39" s="692" t="s">
        <v>351</v>
      </c>
      <c r="L39" s="693"/>
      <c r="M39" s="699">
        <f>M22</f>
        <v>0</v>
      </c>
      <c r="N39" s="265"/>
      <c r="O39" s="127"/>
    </row>
    <row r="40" spans="1:15" ht="20.25" customHeight="1" thickBot="1">
      <c r="A40" s="370"/>
      <c r="B40" s="561" t="s">
        <v>360</v>
      </c>
      <c r="C40" s="562"/>
      <c r="D40" s="315"/>
      <c r="E40" s="570" t="s">
        <v>358</v>
      </c>
      <c r="F40" s="571"/>
      <c r="G40" s="288"/>
      <c r="H40" s="572" t="s">
        <v>352</v>
      </c>
      <c r="I40" s="571"/>
      <c r="J40" s="288">
        <f>M40-G40</f>
        <v>0</v>
      </c>
      <c r="K40" s="573" t="s">
        <v>351</v>
      </c>
      <c r="L40" s="574"/>
      <c r="M40" s="288">
        <f>M22</f>
        <v>0</v>
      </c>
      <c r="N40" s="372"/>
    </row>
    <row r="41" spans="1:15" ht="20.25" customHeight="1" thickBot="1">
      <c r="A41" s="370"/>
      <c r="B41" s="265"/>
      <c r="C41" s="444"/>
      <c r="D41" s="290"/>
      <c r="E41" s="263"/>
      <c r="F41" s="531"/>
      <c r="G41" s="290"/>
      <c r="H41" s="264"/>
      <c r="I41" s="130"/>
      <c r="J41" s="131"/>
      <c r="K41" s="130"/>
      <c r="N41" s="127"/>
    </row>
    <row r="42" spans="1:15" ht="20.25" customHeight="1">
      <c r="A42" s="535">
        <v>7</v>
      </c>
      <c r="B42" s="536" t="s">
        <v>198</v>
      </c>
      <c r="C42" s="445"/>
      <c r="D42" s="314"/>
      <c r="E42" s="537" t="s">
        <v>343</v>
      </c>
      <c r="F42" s="538" t="s">
        <v>344</v>
      </c>
      <c r="G42" s="539" t="s">
        <v>24</v>
      </c>
      <c r="H42" s="540" t="s">
        <v>343</v>
      </c>
      <c r="I42" s="541" t="s">
        <v>344</v>
      </c>
      <c r="J42" s="542" t="s">
        <v>24</v>
      </c>
      <c r="K42" s="537" t="s">
        <v>343</v>
      </c>
      <c r="L42" s="543" t="s">
        <v>345</v>
      </c>
      <c r="M42" s="575" t="s">
        <v>24</v>
      </c>
      <c r="N42" s="127"/>
    </row>
    <row r="43" spans="1:15" ht="20.25" customHeight="1">
      <c r="A43" s="535"/>
      <c r="B43" s="545"/>
      <c r="C43" s="442"/>
      <c r="D43" s="546"/>
      <c r="E43" s="547"/>
      <c r="F43" s="548"/>
      <c r="G43" s="549"/>
      <c r="H43" s="550"/>
      <c r="I43" s="551"/>
      <c r="J43" s="549"/>
      <c r="K43" s="552"/>
      <c r="L43" s="553"/>
      <c r="M43" s="576"/>
      <c r="N43" s="127"/>
    </row>
    <row r="44" spans="1:15" ht="20.25" customHeight="1" thickBot="1">
      <c r="A44" s="535"/>
      <c r="B44" s="555"/>
      <c r="C44" s="443"/>
      <c r="D44" s="546"/>
      <c r="E44" s="556"/>
      <c r="F44" s="557"/>
      <c r="G44" s="549"/>
      <c r="H44" s="550"/>
      <c r="I44" s="558"/>
      <c r="J44" s="549"/>
      <c r="K44" s="552"/>
      <c r="L44" s="559"/>
      <c r="M44" s="577"/>
      <c r="N44" s="127"/>
    </row>
    <row r="45" spans="1:15" ht="20.25" customHeight="1" thickBot="1">
      <c r="A45" s="370"/>
      <c r="B45" s="561" t="s">
        <v>93</v>
      </c>
      <c r="C45" s="562"/>
      <c r="D45" s="315"/>
      <c r="E45" s="289">
        <f t="shared" ref="E45:M45" si="6">SUM(E43:E44)</f>
        <v>0</v>
      </c>
      <c r="F45" s="287">
        <f t="shared" si="6"/>
        <v>0</v>
      </c>
      <c r="G45" s="288">
        <f t="shared" si="6"/>
        <v>0</v>
      </c>
      <c r="H45" s="286">
        <f t="shared" si="6"/>
        <v>0</v>
      </c>
      <c r="I45" s="287">
        <f t="shared" si="6"/>
        <v>0</v>
      </c>
      <c r="J45" s="288">
        <f t="shared" si="6"/>
        <v>0</v>
      </c>
      <c r="K45" s="282">
        <f t="shared" si="6"/>
        <v>0</v>
      </c>
      <c r="L45" s="283">
        <f t="shared" si="6"/>
        <v>0</v>
      </c>
      <c r="M45" s="288">
        <f t="shared" si="6"/>
        <v>0</v>
      </c>
      <c r="N45" s="127"/>
    </row>
    <row r="46" spans="1:15" ht="20.25" customHeight="1" thickBot="1">
      <c r="A46" s="370"/>
      <c r="B46" s="265"/>
      <c r="C46" s="531"/>
      <c r="D46" s="290"/>
      <c r="E46" s="564"/>
      <c r="F46" s="531"/>
      <c r="G46" s="290"/>
      <c r="H46" s="263"/>
      <c r="I46" s="290"/>
      <c r="J46" s="263"/>
      <c r="K46" s="263"/>
      <c r="L46" s="564"/>
      <c r="M46" s="531"/>
      <c r="N46" s="127"/>
    </row>
    <row r="47" spans="1:15" ht="20.25" customHeight="1">
      <c r="A47" s="372">
        <v>14</v>
      </c>
      <c r="B47" s="451" t="s">
        <v>354</v>
      </c>
      <c r="C47" s="452"/>
      <c r="D47" s="453"/>
      <c r="E47" s="293"/>
      <c r="F47" s="293" t="s">
        <v>226</v>
      </c>
      <c r="G47" s="454">
        <f>J24</f>
        <v>0</v>
      </c>
      <c r="H47" s="578"/>
      <c r="I47" s="452"/>
      <c r="J47" s="452"/>
      <c r="K47" s="293"/>
      <c r="L47" s="293" t="s">
        <v>361</v>
      </c>
      <c r="M47" s="454">
        <f>G8</f>
        <v>0</v>
      </c>
      <c r="N47" s="127"/>
    </row>
    <row r="48" spans="1:15" ht="20.25" customHeight="1">
      <c r="A48" s="372"/>
      <c r="B48" s="267"/>
      <c r="E48" s="294"/>
      <c r="F48" s="294" t="s">
        <v>447</v>
      </c>
      <c r="G48" s="297">
        <f>-J19</f>
        <v>0</v>
      </c>
      <c r="H48" s="267"/>
      <c r="K48" s="294"/>
      <c r="L48" s="294" t="s">
        <v>410</v>
      </c>
      <c r="M48" s="297">
        <f>J8</f>
        <v>0</v>
      </c>
      <c r="N48" s="127"/>
    </row>
    <row r="49" spans="1:15" ht="20.25" customHeight="1" thickBot="1">
      <c r="A49" s="372"/>
      <c r="B49" s="267"/>
      <c r="E49" s="294"/>
      <c r="F49" s="294" t="s">
        <v>448</v>
      </c>
      <c r="G49" s="299">
        <f>G9-M9</f>
        <v>0</v>
      </c>
      <c r="H49" s="267"/>
      <c r="L49" s="259" t="s">
        <v>362</v>
      </c>
      <c r="M49" s="579">
        <f>-M8</f>
        <v>0</v>
      </c>
      <c r="N49" s="129"/>
    </row>
    <row r="50" spans="1:15" ht="20.25" customHeight="1" thickBot="1">
      <c r="A50" s="372"/>
      <c r="B50" s="292"/>
      <c r="C50" s="260"/>
      <c r="D50" s="260"/>
      <c r="E50" s="296"/>
      <c r="F50" s="295" t="s">
        <v>355</v>
      </c>
      <c r="G50" s="298">
        <f>SUM(G47:G49)</f>
        <v>0</v>
      </c>
      <c r="H50" s="292"/>
      <c r="I50" s="260"/>
      <c r="J50" s="260"/>
      <c r="K50" s="296"/>
      <c r="L50" s="295" t="s">
        <v>355</v>
      </c>
      <c r="M50" s="580">
        <f>SUM(M47:M49)</f>
        <v>0</v>
      </c>
      <c r="N50" s="129"/>
    </row>
    <row r="51" spans="1:15" ht="20.25" customHeight="1">
      <c r="A51" s="128"/>
      <c r="N51" s="127"/>
      <c r="O51" s="127"/>
    </row>
    <row r="52" spans="1:15" ht="20.25" customHeight="1">
      <c r="N52" s="127"/>
      <c r="O52" s="127"/>
    </row>
    <row r="53" spans="1:15" ht="20.25" customHeight="1">
      <c r="B53" s="128"/>
      <c r="N53" s="127"/>
      <c r="O53" s="127"/>
    </row>
    <row r="54" spans="1:15" ht="20.25" customHeight="1">
      <c r="B54" s="128"/>
      <c r="N54" s="127"/>
      <c r="O54" s="127"/>
    </row>
    <row r="55" spans="1:15" ht="20.25" customHeight="1">
      <c r="B55" s="128"/>
      <c r="N55" s="127"/>
      <c r="O55" s="127"/>
    </row>
    <row r="56" spans="1:15" ht="20.25" customHeight="1">
      <c r="B56" s="128"/>
      <c r="N56" s="127"/>
      <c r="O56" s="127"/>
    </row>
    <row r="57" spans="1:15" ht="20.25" customHeight="1">
      <c r="B57" s="128"/>
      <c r="N57" s="127"/>
      <c r="O57" s="127"/>
    </row>
    <row r="58" spans="1:15" ht="20.25" customHeight="1">
      <c r="B58" s="128"/>
      <c r="C58" s="128"/>
      <c r="N58" s="127"/>
      <c r="O58" s="127"/>
    </row>
    <row r="59" spans="1:15" ht="20.25" customHeight="1">
      <c r="B59" s="128"/>
      <c r="C59" s="128"/>
      <c r="N59" s="127"/>
      <c r="O59" s="127"/>
    </row>
    <row r="60" spans="1:15" ht="20.25" customHeight="1">
      <c r="B60" s="128"/>
      <c r="C60" s="128"/>
      <c r="N60" s="127"/>
      <c r="O60" s="127"/>
    </row>
    <row r="61" spans="1:15" ht="20.25" customHeight="1">
      <c r="B61" s="128"/>
      <c r="C61" s="128"/>
      <c r="N61" s="127"/>
      <c r="O61" s="127"/>
    </row>
    <row r="62" spans="1:15" ht="20.25" customHeight="1">
      <c r="B62" s="128"/>
      <c r="C62" s="128"/>
      <c r="N62" s="127"/>
      <c r="O62" s="127"/>
    </row>
    <row r="63" spans="1:15" ht="20.25" customHeight="1">
      <c r="B63" s="128"/>
      <c r="C63" s="128"/>
      <c r="N63" s="127"/>
      <c r="O63" s="127"/>
    </row>
    <row r="64" spans="1:15" ht="20.25" customHeight="1">
      <c r="B64" s="128"/>
      <c r="C64" s="128"/>
      <c r="N64" s="127"/>
      <c r="O64" s="127"/>
    </row>
    <row r="65" spans="2:15" ht="20.25" customHeight="1">
      <c r="B65" s="128"/>
      <c r="C65" s="128"/>
      <c r="N65" s="127"/>
      <c r="O65" s="127"/>
    </row>
    <row r="66" spans="2:15" ht="20.25" customHeight="1">
      <c r="B66" s="128"/>
      <c r="C66" s="128"/>
      <c r="N66" s="127"/>
      <c r="O66" s="127"/>
    </row>
    <row r="67" spans="2:15" ht="20.25" customHeight="1">
      <c r="B67" s="128"/>
      <c r="C67" s="128"/>
      <c r="N67" s="127"/>
      <c r="O67" s="127"/>
    </row>
    <row r="68" spans="2:15" ht="20.25" customHeight="1">
      <c r="B68" s="128"/>
      <c r="C68" s="128"/>
      <c r="N68" s="127"/>
      <c r="O68" s="127"/>
    </row>
    <row r="69" spans="2:15" ht="20.25" customHeight="1">
      <c r="B69" s="128"/>
      <c r="C69" s="128"/>
      <c r="N69" s="127"/>
      <c r="O69" s="127"/>
    </row>
    <row r="70" spans="2:15" ht="20.25" customHeight="1">
      <c r="B70" s="128"/>
      <c r="C70" s="128"/>
      <c r="N70" s="127"/>
      <c r="O70" s="127"/>
    </row>
    <row r="71" spans="2:15" ht="20.25" customHeight="1">
      <c r="B71" s="128"/>
      <c r="C71" s="128"/>
      <c r="N71" s="127"/>
      <c r="O71" s="127"/>
    </row>
    <row r="72" spans="2:15" ht="20.25" customHeight="1">
      <c r="B72" s="128"/>
      <c r="C72" s="128"/>
      <c r="N72" s="127"/>
      <c r="O72" s="127"/>
    </row>
    <row r="73" spans="2:15" ht="20.25" customHeight="1">
      <c r="B73" s="128"/>
      <c r="C73" s="128"/>
      <c r="N73" s="127"/>
      <c r="O73" s="127"/>
    </row>
    <row r="74" spans="2:15" ht="20.25" customHeight="1">
      <c r="B74" s="128"/>
      <c r="C74" s="128"/>
      <c r="N74" s="127"/>
      <c r="O74" s="127"/>
    </row>
    <row r="75" spans="2:15" ht="20.25" customHeight="1">
      <c r="B75" s="128"/>
      <c r="C75" s="128"/>
      <c r="N75" s="127"/>
      <c r="O75" s="127"/>
    </row>
    <row r="76" spans="2:15" ht="20.25" customHeight="1">
      <c r="B76" s="128"/>
      <c r="C76" s="128"/>
      <c r="N76" s="127"/>
      <c r="O76" s="127"/>
    </row>
    <row r="77" spans="2:15" ht="20.25" customHeight="1">
      <c r="B77" s="128"/>
      <c r="C77" s="128"/>
      <c r="N77" s="127"/>
      <c r="O77" s="127"/>
    </row>
    <row r="78" spans="2:15" ht="20.25" customHeight="1">
      <c r="B78" s="128"/>
      <c r="C78" s="128"/>
      <c r="N78" s="127"/>
      <c r="O78" s="127"/>
    </row>
    <row r="79" spans="2:15" ht="20.25" customHeight="1">
      <c r="B79" s="128"/>
      <c r="C79" s="128"/>
      <c r="N79" s="127"/>
      <c r="O79" s="127"/>
    </row>
    <row r="80" spans="2:15" ht="20.25" customHeight="1">
      <c r="B80" s="128"/>
      <c r="C80" s="128"/>
      <c r="N80" s="127"/>
      <c r="O80" s="127"/>
    </row>
    <row r="81" spans="2:15" ht="20.25" customHeight="1">
      <c r="B81" s="128"/>
      <c r="C81" s="128"/>
      <c r="N81" s="127"/>
      <c r="O81" s="127"/>
    </row>
    <row r="82" spans="2:15" ht="20.25" customHeight="1">
      <c r="B82" s="128"/>
      <c r="C82" s="128"/>
      <c r="N82" s="127"/>
      <c r="O82" s="127"/>
    </row>
    <row r="83" spans="2:15" ht="20.25" customHeight="1">
      <c r="B83" s="128"/>
      <c r="C83" s="128"/>
      <c r="N83" s="127"/>
      <c r="O83" s="127"/>
    </row>
    <row r="84" spans="2:15" ht="20.25" customHeight="1">
      <c r="B84" s="128"/>
      <c r="C84" s="128"/>
      <c r="N84" s="127"/>
      <c r="O84" s="127"/>
    </row>
    <row r="85" spans="2:15" ht="20.25" customHeight="1"/>
    <row r="86" spans="2:15" ht="20.25" customHeight="1"/>
    <row r="87" spans="2:15" ht="20.25" customHeight="1"/>
    <row r="88" spans="2:15" ht="20.25" customHeight="1"/>
  </sheetData>
  <printOptions horizontalCentered="1" gridLines="1"/>
  <pageMargins left="0.19685039370078741" right="0.19685039370078741" top="0.78740157480314965" bottom="0.19685039370078741" header="0.51181102362204722" footer="0.11811023622047245"/>
  <pageSetup paperSize="9" scale="63" orientation="portrait" cellComments="atEnd" horizontalDpi="4294967293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A738-6AF8-4CE8-9CC7-9C843A6AC30F}">
  <sheetPr codeName="Tabelle140">
    <pageSetUpPr fitToPage="1"/>
  </sheetPr>
  <dimension ref="A1:P101"/>
  <sheetViews>
    <sheetView zoomScaleNormal="100" zoomScaleSheetLayoutView="100" workbookViewId="0">
      <selection activeCell="J64" sqref="J64"/>
    </sheetView>
  </sheetViews>
  <sheetFormatPr baseColWidth="10" defaultColWidth="11.5703125" defaultRowHeight="12.75"/>
  <cols>
    <col min="1" max="1" width="4.42578125" style="127" customWidth="1"/>
    <col min="2" max="2" width="6.5703125" style="127" customWidth="1"/>
    <col min="3" max="3" width="32.42578125" style="127" customWidth="1"/>
    <col min="4" max="4" width="9.42578125" style="127" customWidth="1"/>
    <col min="5" max="7" width="13.7109375" style="127" customWidth="1"/>
    <col min="8" max="9" width="13.7109375" style="127" hidden="1" customWidth="1"/>
    <col min="10" max="13" width="13.7109375" style="127" customWidth="1"/>
    <col min="14" max="14" width="23.28515625" style="128" customWidth="1"/>
    <col min="15" max="16384" width="11.5703125" style="127"/>
  </cols>
  <sheetData>
    <row r="1" spans="1:16" ht="12" customHeight="1">
      <c r="A1" s="370"/>
      <c r="B1" s="520"/>
      <c r="C1" s="521"/>
      <c r="D1" s="522"/>
      <c r="E1" s="522"/>
      <c r="F1" s="523"/>
      <c r="G1" s="452"/>
      <c r="H1" s="524"/>
      <c r="I1" s="525"/>
      <c r="J1" s="526"/>
      <c r="K1" s="452"/>
      <c r="L1" s="452"/>
      <c r="M1" s="452"/>
      <c r="N1" s="142"/>
      <c r="P1" s="142"/>
    </row>
    <row r="2" spans="1:16" ht="20.25" customHeight="1">
      <c r="A2" s="370"/>
      <c r="B2" s="300" t="s">
        <v>31</v>
      </c>
      <c r="C2" s="301"/>
      <c r="D2" s="261"/>
      <c r="E2" s="425"/>
      <c r="F2" s="424"/>
      <c r="G2" s="302" t="s">
        <v>340</v>
      </c>
      <c r="H2" s="303"/>
      <c r="I2" s="302"/>
      <c r="J2" s="302"/>
      <c r="K2" s="302" t="s">
        <v>29</v>
      </c>
      <c r="L2" s="302"/>
      <c r="M2" s="302">
        <v>2025</v>
      </c>
      <c r="N2" s="142"/>
      <c r="P2" s="142"/>
    </row>
    <row r="3" spans="1:16" ht="11.65" customHeight="1" thickBot="1">
      <c r="A3" s="370">
        <v>51</v>
      </c>
      <c r="B3" s="527"/>
      <c r="C3" s="528"/>
      <c r="D3" s="529"/>
      <c r="E3" s="530"/>
      <c r="F3" s="531"/>
      <c r="G3" s="290"/>
      <c r="H3" s="266"/>
      <c r="I3" s="143"/>
      <c r="J3" s="143"/>
      <c r="N3" s="142"/>
      <c r="P3" s="142"/>
    </row>
    <row r="4" spans="1:16" ht="20.25" customHeight="1">
      <c r="A4" s="370"/>
      <c r="B4" s="304" t="s">
        <v>10</v>
      </c>
      <c r="C4" s="305" t="s">
        <v>341</v>
      </c>
      <c r="D4" s="306" t="s">
        <v>12</v>
      </c>
      <c r="E4" s="307"/>
      <c r="F4" s="308" t="s">
        <v>99</v>
      </c>
      <c r="G4" s="309"/>
      <c r="H4" s="310"/>
      <c r="I4" s="311"/>
      <c r="J4" s="312" t="s">
        <v>103</v>
      </c>
      <c r="K4" s="313"/>
      <c r="L4" s="311" t="s">
        <v>356</v>
      </c>
      <c r="M4" s="312"/>
      <c r="N4" s="142"/>
      <c r="P4" s="142"/>
    </row>
    <row r="5" spans="1:16" ht="20.25" customHeight="1" thickBot="1">
      <c r="A5" s="371"/>
      <c r="B5" s="265"/>
      <c r="C5" s="532"/>
      <c r="D5" s="290"/>
      <c r="E5" s="533"/>
      <c r="F5" s="237"/>
      <c r="G5" s="290"/>
      <c r="H5" s="534"/>
      <c r="I5" s="141"/>
      <c r="J5" s="143"/>
      <c r="N5" s="142"/>
      <c r="P5" s="142"/>
    </row>
    <row r="6" spans="1:16" ht="20.25" customHeight="1">
      <c r="A6" s="535">
        <v>1</v>
      </c>
      <c r="B6" s="536" t="s">
        <v>342</v>
      </c>
      <c r="C6" s="445"/>
      <c r="D6" s="314"/>
      <c r="E6" s="537" t="s">
        <v>343</v>
      </c>
      <c r="F6" s="538" t="s">
        <v>344</v>
      </c>
      <c r="G6" s="539" t="s">
        <v>24</v>
      </c>
      <c r="H6" s="540" t="s">
        <v>343</v>
      </c>
      <c r="I6" s="541" t="s">
        <v>344</v>
      </c>
      <c r="J6" s="542" t="s">
        <v>24</v>
      </c>
      <c r="K6" s="537" t="s">
        <v>343</v>
      </c>
      <c r="L6" s="543" t="s">
        <v>345</v>
      </c>
      <c r="M6" s="544" t="s">
        <v>24</v>
      </c>
      <c r="N6" s="265"/>
      <c r="P6" s="135"/>
    </row>
    <row r="7" spans="1:16" ht="18" customHeight="1">
      <c r="A7" s="535"/>
      <c r="B7" s="545"/>
      <c r="C7" s="442"/>
      <c r="D7" s="546"/>
      <c r="E7" s="547"/>
      <c r="F7" s="548"/>
      <c r="G7" s="549"/>
      <c r="H7" s="550"/>
      <c r="I7" s="551"/>
      <c r="J7" s="549"/>
      <c r="K7" s="552"/>
      <c r="L7" s="553"/>
      <c r="M7" s="554"/>
      <c r="N7" s="266"/>
      <c r="P7" s="135"/>
    </row>
    <row r="8" spans="1:16" ht="20.25" customHeight="1" thickBot="1">
      <c r="A8" s="535"/>
      <c r="B8" s="555"/>
      <c r="C8" s="443"/>
      <c r="D8" s="546"/>
      <c r="E8" s="556"/>
      <c r="F8" s="557"/>
      <c r="G8" s="549"/>
      <c r="H8" s="550"/>
      <c r="I8" s="558"/>
      <c r="J8" s="549"/>
      <c r="K8" s="552"/>
      <c r="L8" s="559"/>
      <c r="M8" s="560"/>
      <c r="N8" s="266"/>
      <c r="P8" s="135"/>
    </row>
    <row r="9" spans="1:16" ht="20.25" customHeight="1" thickBot="1">
      <c r="A9" s="370"/>
      <c r="B9" s="561" t="s">
        <v>93</v>
      </c>
      <c r="C9" s="562"/>
      <c r="D9" s="315"/>
      <c r="E9" s="289">
        <f t="shared" ref="E9:M9" si="0">SUM(E7:E8)</f>
        <v>0</v>
      </c>
      <c r="F9" s="287">
        <f t="shared" si="0"/>
        <v>0</v>
      </c>
      <c r="G9" s="288">
        <f t="shared" si="0"/>
        <v>0</v>
      </c>
      <c r="H9" s="286">
        <f t="shared" si="0"/>
        <v>0</v>
      </c>
      <c r="I9" s="287">
        <f t="shared" si="0"/>
        <v>0</v>
      </c>
      <c r="J9" s="288">
        <f t="shared" si="0"/>
        <v>0</v>
      </c>
      <c r="K9" s="282">
        <f t="shared" si="0"/>
        <v>0</v>
      </c>
      <c r="L9" s="283">
        <f t="shared" si="0"/>
        <v>0</v>
      </c>
      <c r="M9" s="284">
        <f t="shared" si="0"/>
        <v>0</v>
      </c>
      <c r="N9" s="263"/>
      <c r="P9" s="135"/>
    </row>
    <row r="10" spans="1:16" ht="20.25" customHeight="1" thickBot="1">
      <c r="A10" s="370"/>
      <c r="B10" s="563"/>
      <c r="C10" s="444"/>
      <c r="D10" s="290"/>
      <c r="E10" s="564"/>
      <c r="F10" s="531"/>
      <c r="G10" s="290"/>
      <c r="H10" s="263"/>
      <c r="I10" s="290"/>
      <c r="J10" s="263"/>
      <c r="K10" s="263"/>
      <c r="L10" s="564"/>
      <c r="M10" s="531"/>
      <c r="N10" s="263"/>
      <c r="P10" s="135"/>
    </row>
    <row r="11" spans="1:16" ht="20.25" customHeight="1">
      <c r="A11" s="535">
        <v>6</v>
      </c>
      <c r="B11" s="536" t="s">
        <v>346</v>
      </c>
      <c r="C11" s="445"/>
      <c r="D11" s="314"/>
      <c r="E11" s="537" t="s">
        <v>343</v>
      </c>
      <c r="F11" s="538" t="s">
        <v>344</v>
      </c>
      <c r="G11" s="539" t="s">
        <v>24</v>
      </c>
      <c r="H11" s="540" t="s">
        <v>343</v>
      </c>
      <c r="I11" s="541" t="s">
        <v>344</v>
      </c>
      <c r="J11" s="542" t="s">
        <v>24</v>
      </c>
      <c r="K11" s="537" t="s">
        <v>343</v>
      </c>
      <c r="L11" s="543" t="s">
        <v>345</v>
      </c>
      <c r="M11" s="544" t="s">
        <v>24</v>
      </c>
      <c r="N11" s="265"/>
      <c r="P11" s="135"/>
    </row>
    <row r="12" spans="1:16" ht="20.25" customHeight="1">
      <c r="A12" s="535"/>
      <c r="B12" s="545"/>
      <c r="C12" s="442"/>
      <c r="D12" s="546"/>
      <c r="E12" s="547"/>
      <c r="F12" s="548"/>
      <c r="G12" s="549"/>
      <c r="H12" s="550"/>
      <c r="I12" s="551"/>
      <c r="J12" s="549"/>
      <c r="K12" s="552"/>
      <c r="L12" s="553"/>
      <c r="M12" s="554"/>
      <c r="N12" s="266"/>
      <c r="P12" s="135"/>
    </row>
    <row r="13" spans="1:16" ht="20.25" customHeight="1" thickBot="1">
      <c r="A13" s="535"/>
      <c r="B13" s="555"/>
      <c r="C13" s="443"/>
      <c r="D13" s="546"/>
      <c r="E13" s="556"/>
      <c r="F13" s="557"/>
      <c r="G13" s="549"/>
      <c r="H13" s="550"/>
      <c r="I13" s="558"/>
      <c r="J13" s="549"/>
      <c r="K13" s="552"/>
      <c r="L13" s="559"/>
      <c r="M13" s="560"/>
      <c r="N13" s="266"/>
      <c r="P13" s="135"/>
    </row>
    <row r="14" spans="1:16" ht="20.25" customHeight="1" thickBot="1">
      <c r="A14" s="370"/>
      <c r="B14" s="561" t="s">
        <v>348</v>
      </c>
      <c r="C14" s="562"/>
      <c r="D14" s="315"/>
      <c r="E14" s="289">
        <f t="shared" ref="E14:M14" si="1">SUM(E12:E13)</f>
        <v>0</v>
      </c>
      <c r="F14" s="287">
        <f t="shared" si="1"/>
        <v>0</v>
      </c>
      <c r="G14" s="288">
        <f t="shared" si="1"/>
        <v>0</v>
      </c>
      <c r="H14" s="286">
        <f t="shared" si="1"/>
        <v>0</v>
      </c>
      <c r="I14" s="287">
        <f t="shared" si="1"/>
        <v>0</v>
      </c>
      <c r="J14" s="288">
        <f t="shared" si="1"/>
        <v>0</v>
      </c>
      <c r="K14" s="282">
        <f t="shared" si="1"/>
        <v>0</v>
      </c>
      <c r="L14" s="283">
        <f t="shared" si="1"/>
        <v>0</v>
      </c>
      <c r="M14" s="284">
        <f t="shared" si="1"/>
        <v>0</v>
      </c>
      <c r="N14" s="263"/>
      <c r="P14" s="135"/>
    </row>
    <row r="15" spans="1:16" ht="20.25" customHeight="1" thickBot="1">
      <c r="A15" s="370"/>
      <c r="B15" s="265"/>
      <c r="C15" s="446"/>
      <c r="D15" s="290"/>
      <c r="E15" s="153"/>
      <c r="F15" s="237"/>
      <c r="G15" s="290"/>
      <c r="H15" s="262"/>
      <c r="I15" s="290"/>
      <c r="J15" s="262"/>
      <c r="K15" s="262"/>
      <c r="L15" s="153"/>
      <c r="M15" s="461"/>
      <c r="N15" s="262"/>
      <c r="P15" s="135"/>
    </row>
    <row r="16" spans="1:16" ht="20.25" customHeight="1">
      <c r="A16" s="370">
        <v>2</v>
      </c>
      <c r="B16" s="536" t="s">
        <v>200</v>
      </c>
      <c r="C16" s="445"/>
      <c r="D16" s="314"/>
      <c r="E16" s="537" t="s">
        <v>343</v>
      </c>
      <c r="F16" s="538" t="s">
        <v>344</v>
      </c>
      <c r="G16" s="539" t="s">
        <v>24</v>
      </c>
      <c r="H16" s="540" t="s">
        <v>343</v>
      </c>
      <c r="I16" s="541" t="s">
        <v>344</v>
      </c>
      <c r="J16" s="542" t="s">
        <v>24</v>
      </c>
      <c r="K16" s="537" t="s">
        <v>343</v>
      </c>
      <c r="L16" s="543" t="s">
        <v>345</v>
      </c>
      <c r="M16" s="544" t="s">
        <v>24</v>
      </c>
      <c r="N16" s="265"/>
      <c r="P16" s="135"/>
    </row>
    <row r="17" spans="1:16" ht="20.25" customHeight="1">
      <c r="A17" s="370"/>
      <c r="B17" s="545"/>
      <c r="C17" s="442"/>
      <c r="D17" s="546"/>
      <c r="E17" s="547"/>
      <c r="F17" s="548"/>
      <c r="G17" s="549"/>
      <c r="H17" s="550"/>
      <c r="I17" s="551"/>
      <c r="J17" s="549"/>
      <c r="K17" s="552"/>
      <c r="L17" s="553"/>
      <c r="M17" s="554"/>
      <c r="N17" s="266"/>
      <c r="P17" s="135"/>
    </row>
    <row r="18" spans="1:16" ht="20.25" customHeight="1" thickBot="1">
      <c r="A18" s="370"/>
      <c r="B18" s="555"/>
      <c r="C18" s="443"/>
      <c r="D18" s="546"/>
      <c r="E18" s="556"/>
      <c r="F18" s="557"/>
      <c r="G18" s="549"/>
      <c r="H18" s="550"/>
      <c r="I18" s="558"/>
      <c r="J18" s="549"/>
      <c r="K18" s="552"/>
      <c r="L18" s="559"/>
      <c r="M18" s="560"/>
      <c r="N18" s="266"/>
      <c r="P18" s="135"/>
    </row>
    <row r="19" spans="1:16" ht="20.25" customHeight="1" thickBot="1">
      <c r="A19" s="370"/>
      <c r="B19" s="561" t="s">
        <v>203</v>
      </c>
      <c r="C19" s="562"/>
      <c r="D19" s="315"/>
      <c r="E19" s="289">
        <f t="shared" ref="E19:M19" si="2">SUM(E17:E18)</f>
        <v>0</v>
      </c>
      <c r="F19" s="287">
        <f t="shared" si="2"/>
        <v>0</v>
      </c>
      <c r="G19" s="288">
        <f t="shared" si="2"/>
        <v>0</v>
      </c>
      <c r="H19" s="286">
        <f t="shared" si="2"/>
        <v>0</v>
      </c>
      <c r="I19" s="287">
        <f t="shared" si="2"/>
        <v>0</v>
      </c>
      <c r="J19" s="288">
        <f t="shared" si="2"/>
        <v>0</v>
      </c>
      <c r="K19" s="282">
        <f t="shared" si="2"/>
        <v>0</v>
      </c>
      <c r="L19" s="283">
        <f t="shared" si="2"/>
        <v>0</v>
      </c>
      <c r="M19" s="284">
        <f t="shared" si="2"/>
        <v>0</v>
      </c>
      <c r="N19" s="263"/>
      <c r="P19" s="135"/>
    </row>
    <row r="20" spans="1:16" ht="20.25" customHeight="1" thickBot="1">
      <c r="A20" s="370"/>
      <c r="B20" s="265"/>
      <c r="C20" s="444"/>
      <c r="D20" s="290"/>
      <c r="E20" s="136"/>
      <c r="F20" s="531"/>
      <c r="G20" s="290"/>
      <c r="H20" s="263"/>
      <c r="I20" s="290"/>
      <c r="J20" s="263"/>
      <c r="K20" s="263"/>
      <c r="L20" s="136"/>
      <c r="M20" s="565"/>
      <c r="N20" s="263"/>
      <c r="P20" s="135"/>
    </row>
    <row r="21" spans="1:16" ht="20.25" customHeight="1">
      <c r="A21" s="370">
        <v>3</v>
      </c>
      <c r="B21" s="536" t="s">
        <v>226</v>
      </c>
      <c r="C21" s="445"/>
      <c r="D21" s="314"/>
      <c r="E21" s="537" t="s">
        <v>343</v>
      </c>
      <c r="F21" s="538" t="s">
        <v>344</v>
      </c>
      <c r="G21" s="539" t="s">
        <v>24</v>
      </c>
      <c r="H21" s="540" t="s">
        <v>343</v>
      </c>
      <c r="I21" s="541" t="s">
        <v>344</v>
      </c>
      <c r="J21" s="542" t="s">
        <v>24</v>
      </c>
      <c r="K21" s="537" t="s">
        <v>343</v>
      </c>
      <c r="L21" s="543" t="s">
        <v>345</v>
      </c>
      <c r="M21" s="544" t="s">
        <v>24</v>
      </c>
      <c r="N21" s="265"/>
      <c r="P21" s="135"/>
    </row>
    <row r="22" spans="1:16" ht="20.25" customHeight="1">
      <c r="A22" s="370"/>
      <c r="B22" s="545"/>
      <c r="C22" s="442"/>
      <c r="D22" s="546"/>
      <c r="E22" s="547"/>
      <c r="F22" s="548"/>
      <c r="G22" s="549"/>
      <c r="H22" s="550"/>
      <c r="I22" s="551"/>
      <c r="J22" s="549"/>
      <c r="K22" s="552"/>
      <c r="L22" s="553"/>
      <c r="M22" s="554"/>
      <c r="N22" s="266"/>
      <c r="P22" s="135"/>
    </row>
    <row r="23" spans="1:16" ht="20.25" customHeight="1" thickBot="1">
      <c r="A23" s="370"/>
      <c r="B23" s="555"/>
      <c r="C23" s="443"/>
      <c r="D23" s="546"/>
      <c r="E23" s="556"/>
      <c r="F23" s="557"/>
      <c r="G23" s="549"/>
      <c r="H23" s="550"/>
      <c r="I23" s="558"/>
      <c r="J23" s="549"/>
      <c r="K23" s="552"/>
      <c r="L23" s="559"/>
      <c r="M23" s="560"/>
      <c r="N23" s="266"/>
      <c r="P23" s="135"/>
    </row>
    <row r="24" spans="1:16" ht="20.25" customHeight="1" thickBot="1">
      <c r="A24" s="370"/>
      <c r="B24" s="561" t="s">
        <v>347</v>
      </c>
      <c r="C24" s="562"/>
      <c r="D24" s="315"/>
      <c r="E24" s="289">
        <f t="shared" ref="E24:M24" si="3">SUM(E22:E23)</f>
        <v>0</v>
      </c>
      <c r="F24" s="287">
        <f t="shared" si="3"/>
        <v>0</v>
      </c>
      <c r="G24" s="288">
        <f t="shared" si="3"/>
        <v>0</v>
      </c>
      <c r="H24" s="286">
        <f t="shared" si="3"/>
        <v>0</v>
      </c>
      <c r="I24" s="287">
        <f t="shared" si="3"/>
        <v>0</v>
      </c>
      <c r="J24" s="288">
        <f t="shared" si="3"/>
        <v>0</v>
      </c>
      <c r="K24" s="282">
        <f t="shared" si="3"/>
        <v>0</v>
      </c>
      <c r="L24" s="283">
        <f t="shared" si="3"/>
        <v>0</v>
      </c>
      <c r="M24" s="284">
        <f t="shared" si="3"/>
        <v>0</v>
      </c>
      <c r="N24" s="264"/>
      <c r="P24" s="135"/>
    </row>
    <row r="25" spans="1:16" ht="20.65" customHeight="1" thickBot="1">
      <c r="A25" s="370"/>
      <c r="B25" s="265"/>
      <c r="C25" s="531"/>
      <c r="D25" s="290"/>
      <c r="E25" s="136"/>
      <c r="F25" s="531"/>
      <c r="G25" s="290"/>
      <c r="H25" s="264"/>
      <c r="I25" s="139"/>
      <c r="J25" s="140"/>
      <c r="K25" s="139"/>
      <c r="N25" s="135"/>
      <c r="P25" s="135"/>
    </row>
    <row r="26" spans="1:16" ht="20.25" customHeight="1" thickBot="1">
      <c r="A26" s="370">
        <v>12</v>
      </c>
      <c r="B26" s="536" t="s">
        <v>349</v>
      </c>
      <c r="C26" s="445"/>
      <c r="D26" s="314"/>
      <c r="E26" s="566" t="s">
        <v>357</v>
      </c>
      <c r="F26" s="538"/>
      <c r="G26" s="456">
        <f>G9</f>
        <v>0</v>
      </c>
      <c r="H26" s="567" t="s">
        <v>352</v>
      </c>
      <c r="I26" s="541"/>
      <c r="J26" s="291">
        <f>M9-G9</f>
        <v>0</v>
      </c>
      <c r="K26" s="537" t="s">
        <v>351</v>
      </c>
      <c r="L26" s="568"/>
      <c r="M26" s="291">
        <f>M9</f>
        <v>0</v>
      </c>
      <c r="N26" s="135"/>
      <c r="P26" s="135"/>
    </row>
    <row r="27" spans="1:16" ht="20.25" customHeight="1" thickBot="1">
      <c r="A27" s="370"/>
      <c r="B27" s="561" t="s">
        <v>350</v>
      </c>
      <c r="C27" s="569"/>
      <c r="D27" s="315"/>
      <c r="E27" s="570" t="s">
        <v>358</v>
      </c>
      <c r="F27" s="571"/>
      <c r="G27" s="288"/>
      <c r="H27" s="572" t="s">
        <v>352</v>
      </c>
      <c r="I27" s="571"/>
      <c r="J27" s="288">
        <f>M27-G27</f>
        <v>0</v>
      </c>
      <c r="K27" s="573" t="s">
        <v>351</v>
      </c>
      <c r="L27" s="574"/>
      <c r="M27" s="288">
        <f>M9</f>
        <v>0</v>
      </c>
      <c r="N27" s="127"/>
    </row>
    <row r="28" spans="1:16" ht="20.25" customHeight="1" thickBot="1">
      <c r="A28" s="370"/>
      <c r="B28" s="265"/>
      <c r="C28" s="531"/>
      <c r="D28" s="290"/>
      <c r="E28" s="263"/>
      <c r="F28" s="531"/>
      <c r="G28" s="290"/>
      <c r="H28" s="264"/>
      <c r="I28" s="130"/>
      <c r="J28" s="131"/>
      <c r="K28" s="130"/>
      <c r="N28" s="127"/>
    </row>
    <row r="29" spans="1:16" ht="20.25" customHeight="1">
      <c r="A29" s="370">
        <v>4</v>
      </c>
      <c r="B29" s="536" t="s">
        <v>201</v>
      </c>
      <c r="C29" s="445"/>
      <c r="D29" s="314"/>
      <c r="E29" s="537" t="s">
        <v>343</v>
      </c>
      <c r="F29" s="538" t="s">
        <v>344</v>
      </c>
      <c r="G29" s="539" t="s">
        <v>24</v>
      </c>
      <c r="H29" s="540" t="s">
        <v>343</v>
      </c>
      <c r="I29" s="541" t="s">
        <v>344</v>
      </c>
      <c r="J29" s="542" t="s">
        <v>24</v>
      </c>
      <c r="K29" s="537" t="s">
        <v>343</v>
      </c>
      <c r="L29" s="543" t="s">
        <v>345</v>
      </c>
      <c r="M29" s="575" t="s">
        <v>24</v>
      </c>
      <c r="N29" s="127"/>
    </row>
    <row r="30" spans="1:16" ht="20.25" customHeight="1">
      <c r="A30" s="370"/>
      <c r="B30" s="545"/>
      <c r="C30" s="442"/>
      <c r="D30" s="546"/>
      <c r="E30" s="547"/>
      <c r="F30" s="548"/>
      <c r="G30" s="549"/>
      <c r="H30" s="550"/>
      <c r="I30" s="551"/>
      <c r="J30" s="549"/>
      <c r="K30" s="552"/>
      <c r="L30" s="553"/>
      <c r="M30" s="576"/>
      <c r="N30" s="127"/>
    </row>
    <row r="31" spans="1:16" ht="20.25" customHeight="1" thickBot="1">
      <c r="A31" s="370"/>
      <c r="B31" s="555"/>
      <c r="C31" s="443"/>
      <c r="D31" s="546"/>
      <c r="E31" s="556"/>
      <c r="F31" s="557"/>
      <c r="G31" s="549"/>
      <c r="H31" s="550"/>
      <c r="I31" s="558"/>
      <c r="J31" s="549"/>
      <c r="K31" s="552"/>
      <c r="L31" s="559"/>
      <c r="M31" s="577"/>
      <c r="N31" s="127"/>
    </row>
    <row r="32" spans="1:16" ht="20.25" customHeight="1" thickBot="1">
      <c r="A32" s="370"/>
      <c r="B32" s="561" t="s">
        <v>202</v>
      </c>
      <c r="C32" s="562"/>
      <c r="D32" s="315"/>
      <c r="E32" s="289">
        <f t="shared" ref="E32:M32" si="4">SUM(E30:E31)</f>
        <v>0</v>
      </c>
      <c r="F32" s="287">
        <f t="shared" si="4"/>
        <v>0</v>
      </c>
      <c r="G32" s="288">
        <f t="shared" si="4"/>
        <v>0</v>
      </c>
      <c r="H32" s="286">
        <f t="shared" si="4"/>
        <v>0</v>
      </c>
      <c r="I32" s="287">
        <f t="shared" si="4"/>
        <v>0</v>
      </c>
      <c r="J32" s="288">
        <f t="shared" si="4"/>
        <v>0</v>
      </c>
      <c r="K32" s="282">
        <f t="shared" si="4"/>
        <v>0</v>
      </c>
      <c r="L32" s="283" t="s">
        <v>509</v>
      </c>
      <c r="M32" s="288">
        <f t="shared" si="4"/>
        <v>0</v>
      </c>
      <c r="N32" s="127"/>
    </row>
    <row r="33" spans="1:14" ht="20.25" customHeight="1" thickBot="1">
      <c r="A33" s="370"/>
      <c r="B33" s="265"/>
      <c r="C33" s="444"/>
      <c r="D33" s="290"/>
      <c r="E33" s="136"/>
      <c r="F33" s="531"/>
      <c r="G33" s="290"/>
      <c r="H33" s="263"/>
      <c r="I33" s="290"/>
      <c r="J33" s="263"/>
      <c r="K33" s="263"/>
      <c r="L33" s="136"/>
      <c r="M33" s="531"/>
      <c r="N33" s="127"/>
    </row>
    <row r="34" spans="1:14" ht="20.25" customHeight="1">
      <c r="A34" s="370">
        <v>5</v>
      </c>
      <c r="B34" s="536" t="s">
        <v>227</v>
      </c>
      <c r="C34" s="445"/>
      <c r="D34" s="314"/>
      <c r="E34" s="537" t="s">
        <v>343</v>
      </c>
      <c r="F34" s="538" t="s">
        <v>344</v>
      </c>
      <c r="G34" s="539" t="s">
        <v>24</v>
      </c>
      <c r="H34" s="540" t="s">
        <v>343</v>
      </c>
      <c r="I34" s="541" t="s">
        <v>344</v>
      </c>
      <c r="J34" s="542" t="s">
        <v>24</v>
      </c>
      <c r="K34" s="537" t="s">
        <v>343</v>
      </c>
      <c r="L34" s="543" t="s">
        <v>345</v>
      </c>
      <c r="M34" s="575" t="s">
        <v>24</v>
      </c>
      <c r="N34" s="127"/>
    </row>
    <row r="35" spans="1:14" ht="20.25" customHeight="1">
      <c r="A35" s="370"/>
      <c r="B35" s="545"/>
      <c r="C35" s="442"/>
      <c r="D35" s="546"/>
      <c r="E35" s="547"/>
      <c r="F35" s="548"/>
      <c r="G35" s="549"/>
      <c r="H35" s="550"/>
      <c r="I35" s="551"/>
      <c r="J35" s="549"/>
      <c r="K35" s="552"/>
      <c r="L35" s="553"/>
      <c r="M35" s="576"/>
      <c r="N35" s="127"/>
    </row>
    <row r="36" spans="1:14" ht="20.25" customHeight="1" thickBot="1">
      <c r="A36" s="370"/>
      <c r="B36" s="555"/>
      <c r="C36" s="443"/>
      <c r="D36" s="546"/>
      <c r="E36" s="556"/>
      <c r="F36" s="557"/>
      <c r="G36" s="549"/>
      <c r="H36" s="550"/>
      <c r="I36" s="558"/>
      <c r="J36" s="549"/>
      <c r="K36" s="552"/>
      <c r="L36" s="559"/>
      <c r="M36" s="577"/>
      <c r="N36" s="127"/>
    </row>
    <row r="37" spans="1:14" ht="20.25" customHeight="1" thickBot="1">
      <c r="A37" s="370"/>
      <c r="B37" s="561" t="s">
        <v>353</v>
      </c>
      <c r="C37" s="562"/>
      <c r="D37" s="315"/>
      <c r="E37" s="289">
        <f t="shared" ref="E37:M37" si="5">SUM(E35:E36)</f>
        <v>0</v>
      </c>
      <c r="F37" s="287">
        <f t="shared" si="5"/>
        <v>0</v>
      </c>
      <c r="G37" s="288">
        <f t="shared" si="5"/>
        <v>0</v>
      </c>
      <c r="H37" s="286">
        <f t="shared" si="5"/>
        <v>0</v>
      </c>
      <c r="I37" s="287">
        <f t="shared" si="5"/>
        <v>0</v>
      </c>
      <c r="J37" s="288">
        <f t="shared" si="5"/>
        <v>0</v>
      </c>
      <c r="K37" s="282">
        <f t="shared" si="5"/>
        <v>0</v>
      </c>
      <c r="L37" s="283">
        <f t="shared" si="5"/>
        <v>0</v>
      </c>
      <c r="M37" s="288">
        <f t="shared" si="5"/>
        <v>0</v>
      </c>
      <c r="N37" s="127"/>
    </row>
    <row r="38" spans="1:14" ht="20.25" customHeight="1" thickBot="1">
      <c r="A38" s="370"/>
      <c r="B38" s="265"/>
      <c r="C38" s="444"/>
      <c r="D38" s="290"/>
      <c r="E38" s="136"/>
      <c r="F38" s="531"/>
      <c r="G38" s="290"/>
      <c r="H38" s="264"/>
      <c r="I38" s="139"/>
      <c r="J38" s="140"/>
      <c r="K38" s="139"/>
      <c r="N38" s="127"/>
    </row>
    <row r="39" spans="1:14" ht="20.25" customHeight="1" thickBot="1">
      <c r="A39" s="370">
        <v>13</v>
      </c>
      <c r="B39" s="536" t="s">
        <v>359</v>
      </c>
      <c r="C39" s="445"/>
      <c r="D39" s="314"/>
      <c r="E39" s="566" t="s">
        <v>357</v>
      </c>
      <c r="F39" s="538"/>
      <c r="G39" s="456">
        <f>G22</f>
        <v>0</v>
      </c>
      <c r="H39" s="567" t="s">
        <v>352</v>
      </c>
      <c r="I39" s="541"/>
      <c r="J39" s="291">
        <f>M39-G39</f>
        <v>0</v>
      </c>
      <c r="K39" s="537" t="s">
        <v>351</v>
      </c>
      <c r="L39" s="568"/>
      <c r="M39" s="291">
        <f>M22</f>
        <v>0</v>
      </c>
      <c r="N39" s="127"/>
    </row>
    <row r="40" spans="1:14" ht="20.25" customHeight="1" thickBot="1">
      <c r="A40" s="370"/>
      <c r="B40" s="561" t="s">
        <v>360</v>
      </c>
      <c r="C40" s="562"/>
      <c r="D40" s="315"/>
      <c r="E40" s="570" t="s">
        <v>358</v>
      </c>
      <c r="F40" s="571"/>
      <c r="G40" s="288"/>
      <c r="H40" s="572" t="s">
        <v>352</v>
      </c>
      <c r="I40" s="571"/>
      <c r="J40" s="288">
        <f>M40-G40</f>
        <v>0</v>
      </c>
      <c r="K40" s="573" t="s">
        <v>351</v>
      </c>
      <c r="L40" s="574"/>
      <c r="M40" s="288">
        <f>M22</f>
        <v>0</v>
      </c>
      <c r="N40" s="127"/>
    </row>
    <row r="41" spans="1:14" ht="19.899999999999999" customHeight="1" thickBot="1">
      <c r="A41" s="370"/>
      <c r="B41" s="265"/>
      <c r="C41" s="444"/>
      <c r="D41" s="290"/>
      <c r="E41" s="263"/>
      <c r="F41" s="531"/>
      <c r="G41" s="290"/>
      <c r="H41" s="264"/>
      <c r="I41" s="130"/>
      <c r="J41" s="131"/>
      <c r="K41" s="130"/>
    </row>
    <row r="42" spans="1:14" ht="20.25" customHeight="1">
      <c r="A42" s="535">
        <v>7</v>
      </c>
      <c r="B42" s="536" t="s">
        <v>198</v>
      </c>
      <c r="C42" s="445"/>
      <c r="D42" s="314"/>
      <c r="E42" s="537" t="s">
        <v>343</v>
      </c>
      <c r="F42" s="538" t="s">
        <v>344</v>
      </c>
      <c r="G42" s="539" t="s">
        <v>24</v>
      </c>
      <c r="H42" s="540" t="s">
        <v>343</v>
      </c>
      <c r="I42" s="541" t="s">
        <v>344</v>
      </c>
      <c r="J42" s="542" t="s">
        <v>24</v>
      </c>
      <c r="K42" s="537" t="s">
        <v>343</v>
      </c>
      <c r="L42" s="543" t="s">
        <v>345</v>
      </c>
      <c r="M42" s="575" t="s">
        <v>24</v>
      </c>
    </row>
    <row r="43" spans="1:14" ht="20.25" customHeight="1">
      <c r="A43" s="535"/>
      <c r="B43" s="545"/>
      <c r="C43" s="442"/>
      <c r="D43" s="546"/>
      <c r="E43" s="547"/>
      <c r="F43" s="548"/>
      <c r="G43" s="549"/>
      <c r="H43" s="550"/>
      <c r="I43" s="551"/>
      <c r="J43" s="549"/>
      <c r="K43" s="552"/>
      <c r="L43" s="553"/>
      <c r="M43" s="576"/>
    </row>
    <row r="44" spans="1:14" ht="20.25" customHeight="1" thickBot="1">
      <c r="A44" s="535"/>
      <c r="B44" s="555"/>
      <c r="C44" s="443"/>
      <c r="D44" s="546"/>
      <c r="E44" s="556"/>
      <c r="F44" s="557"/>
      <c r="G44" s="549"/>
      <c r="H44" s="550"/>
      <c r="I44" s="558"/>
      <c r="J44" s="549"/>
      <c r="K44" s="552"/>
      <c r="L44" s="559"/>
      <c r="M44" s="577"/>
    </row>
    <row r="45" spans="1:14" ht="20.25" customHeight="1" thickBot="1">
      <c r="A45" s="370"/>
      <c r="B45" s="561" t="s">
        <v>93</v>
      </c>
      <c r="C45" s="562"/>
      <c r="D45" s="315"/>
      <c r="E45" s="289">
        <f t="shared" ref="E45:M45" si="6">SUM(E43:E44)</f>
        <v>0</v>
      </c>
      <c r="F45" s="287">
        <f t="shared" si="6"/>
        <v>0</v>
      </c>
      <c r="G45" s="288">
        <f t="shared" si="6"/>
        <v>0</v>
      </c>
      <c r="H45" s="286">
        <f t="shared" si="6"/>
        <v>0</v>
      </c>
      <c r="I45" s="287">
        <f t="shared" si="6"/>
        <v>0</v>
      </c>
      <c r="J45" s="288">
        <f t="shared" si="6"/>
        <v>0</v>
      </c>
      <c r="K45" s="282">
        <f t="shared" si="6"/>
        <v>0</v>
      </c>
      <c r="L45" s="283">
        <f t="shared" si="6"/>
        <v>0</v>
      </c>
      <c r="M45" s="288">
        <f t="shared" si="6"/>
        <v>0</v>
      </c>
    </row>
    <row r="46" spans="1:14" ht="20.25" customHeight="1" thickBot="1">
      <c r="A46" s="370"/>
      <c r="B46" s="265"/>
      <c r="C46" s="531"/>
      <c r="D46" s="290"/>
      <c r="E46" s="564"/>
      <c r="F46" s="531"/>
      <c r="G46" s="290"/>
      <c r="H46" s="263"/>
      <c r="I46" s="290"/>
      <c r="J46" s="263"/>
      <c r="K46" s="263"/>
      <c r="L46" s="564"/>
      <c r="M46" s="531"/>
    </row>
    <row r="47" spans="1:14" ht="20.25" customHeight="1">
      <c r="A47" s="372">
        <v>14</v>
      </c>
      <c r="B47" s="451" t="s">
        <v>354</v>
      </c>
      <c r="C47" s="452"/>
      <c r="D47" s="453"/>
      <c r="E47" s="293"/>
      <c r="F47" s="293" t="s">
        <v>226</v>
      </c>
      <c r="G47" s="454">
        <f>J24+J37</f>
        <v>0</v>
      </c>
      <c r="H47" s="578"/>
      <c r="I47" s="452"/>
      <c r="J47" s="452"/>
      <c r="K47" s="293"/>
      <c r="L47" s="293" t="s">
        <v>361</v>
      </c>
      <c r="M47" s="454">
        <f>G9</f>
        <v>0</v>
      </c>
    </row>
    <row r="48" spans="1:14" ht="20.25" customHeight="1">
      <c r="A48" s="372"/>
      <c r="B48" s="267"/>
      <c r="E48" s="294"/>
      <c r="F48" s="294" t="s">
        <v>447</v>
      </c>
      <c r="G48" s="297">
        <f>-J19-J32</f>
        <v>0</v>
      </c>
      <c r="H48" s="267"/>
      <c r="K48" s="294"/>
      <c r="L48" s="294" t="s">
        <v>410</v>
      </c>
      <c r="M48" s="297">
        <f>J9</f>
        <v>0</v>
      </c>
    </row>
    <row r="49" spans="1:13" ht="20.25" customHeight="1" thickBot="1">
      <c r="A49" s="372"/>
      <c r="B49" s="267"/>
      <c r="E49" s="294"/>
      <c r="F49" s="294" t="s">
        <v>448</v>
      </c>
      <c r="G49" s="299" t="s">
        <v>13</v>
      </c>
      <c r="H49" s="267"/>
      <c r="L49" s="259" t="s">
        <v>362</v>
      </c>
      <c r="M49" s="579">
        <f>-M9</f>
        <v>0</v>
      </c>
    </row>
    <row r="50" spans="1:13" ht="20.25" customHeight="1" thickBot="1">
      <c r="A50" s="372"/>
      <c r="B50" s="292"/>
      <c r="C50" s="260"/>
      <c r="D50" s="260"/>
      <c r="E50" s="296"/>
      <c r="F50" s="295" t="s">
        <v>355</v>
      </c>
      <c r="G50" s="298">
        <f>SUM(G47:G49)</f>
        <v>0</v>
      </c>
      <c r="H50" s="292"/>
      <c r="I50" s="260"/>
      <c r="J50" s="260"/>
      <c r="K50" s="296"/>
      <c r="L50" s="295" t="s">
        <v>355</v>
      </c>
      <c r="M50" s="580">
        <f>SUM(M47:M49)</f>
        <v>0</v>
      </c>
    </row>
    <row r="51" spans="1:13" ht="20.25" customHeight="1" thickBot="1">
      <c r="A51" s="372" t="s">
        <v>14</v>
      </c>
      <c r="G51" s="127" t="s">
        <v>528</v>
      </c>
      <c r="H51" s="260"/>
      <c r="I51" s="260"/>
      <c r="J51" s="260"/>
      <c r="K51" s="260"/>
      <c r="L51" s="260"/>
      <c r="M51" s="260"/>
    </row>
    <row r="52" spans="1:13" ht="20.25" customHeight="1">
      <c r="A52" s="372"/>
    </row>
    <row r="53" spans="1:13" ht="20.25" customHeight="1"/>
    <row r="54" spans="1:13" ht="20.25" customHeight="1"/>
    <row r="55" spans="1:13" ht="20.25" customHeight="1"/>
    <row r="56" spans="1:13" ht="20.25" customHeight="1"/>
    <row r="57" spans="1:13" ht="20.25" customHeight="1"/>
    <row r="58" spans="1:13" ht="20.25" customHeight="1"/>
    <row r="59" spans="1:13" ht="20.25" customHeight="1"/>
    <row r="60" spans="1:13" ht="20.25" customHeight="1"/>
    <row r="61" spans="1:13" ht="20.25" customHeight="1"/>
    <row r="62" spans="1:13" ht="20.25" customHeight="1"/>
    <row r="63" spans="1:13" ht="20.25" customHeight="1"/>
    <row r="64" spans="1:13" ht="20.25" customHeight="1"/>
    <row r="65" ht="20.25" customHeight="1"/>
    <row r="66" ht="20.25" customHeight="1"/>
    <row r="67" ht="20.25" customHeight="1"/>
    <row r="68" ht="20.25" customHeight="1"/>
    <row r="69" ht="20.25" customHeight="1"/>
    <row r="70" ht="20.25" customHeight="1"/>
    <row r="71" ht="20.25" customHeight="1"/>
    <row r="72" ht="20.25" customHeight="1"/>
    <row r="73" ht="20.25" customHeight="1"/>
    <row r="74" ht="20.25" customHeight="1"/>
    <row r="75" ht="20.25" customHeight="1"/>
    <row r="76" ht="20.25" customHeight="1"/>
    <row r="77" ht="20.25" customHeight="1"/>
    <row r="78" ht="20.25" customHeight="1"/>
    <row r="79" ht="20.25" customHeight="1"/>
    <row r="80" ht="20.25" customHeight="1"/>
    <row r="81" ht="20.25" customHeight="1"/>
    <row r="82" ht="20.25" customHeight="1"/>
    <row r="83" ht="20.25" customHeight="1"/>
    <row r="84" ht="20.25" customHeight="1"/>
    <row r="85" ht="20.25" customHeight="1"/>
    <row r="86" ht="20.25" customHeight="1"/>
    <row r="87" ht="20.25" customHeight="1"/>
    <row r="88" ht="20.25" customHeight="1"/>
    <row r="89" ht="20.25" customHeight="1"/>
    <row r="90" ht="20.25" customHeight="1"/>
    <row r="91" ht="20.25" customHeight="1"/>
    <row r="92" ht="20.25" customHeight="1"/>
    <row r="93" ht="20.25" customHeight="1"/>
    <row r="94" ht="20.25" customHeight="1"/>
    <row r="95" ht="20.25" customHeight="1"/>
    <row r="96" ht="20.25" customHeight="1"/>
    <row r="97" ht="20.25" customHeight="1"/>
    <row r="98" ht="20.25" customHeight="1"/>
    <row r="99" ht="20.25" customHeight="1"/>
    <row r="100" ht="20.25" customHeight="1"/>
    <row r="101" ht="20.25" customHeight="1"/>
  </sheetData>
  <printOptions horizontalCentered="1" gridLines="1"/>
  <pageMargins left="0.19685039370078741" right="0.19685039370078741" top="0.78740157480314965" bottom="0.19685039370078741" header="0.51181102362204722" footer="0.11811023622047245"/>
  <pageSetup paperSize="9" scale="70" orientation="portrait" cellComments="atEnd" horizontalDpi="4294967293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78AC2-E644-460C-B278-75BC3BD058B8}">
  <sheetPr codeName="Tabelle120"/>
  <dimension ref="A1:N46"/>
  <sheetViews>
    <sheetView zoomScaleNormal="100" workbookViewId="0">
      <selection activeCell="N6" sqref="N6"/>
    </sheetView>
  </sheetViews>
  <sheetFormatPr baseColWidth="10" defaultRowHeight="12.75"/>
  <cols>
    <col min="1" max="1" width="10.42578125" customWidth="1"/>
    <col min="2" max="2" width="20.7109375" customWidth="1"/>
    <col min="3" max="3" width="10.7109375" customWidth="1"/>
    <col min="4" max="5" width="11.5703125" style="2" customWidth="1"/>
  </cols>
  <sheetData>
    <row r="1" spans="1:14" ht="36.6" customHeight="1">
      <c r="A1" s="750" t="s">
        <v>472</v>
      </c>
      <c r="B1" s="750"/>
      <c r="C1" s="750"/>
      <c r="D1" s="11"/>
      <c r="E1" s="11"/>
    </row>
    <row r="2" spans="1:14" ht="41.65" customHeight="1">
      <c r="A2" s="750" t="s">
        <v>474</v>
      </c>
      <c r="B2" s="750"/>
      <c r="C2" s="750"/>
      <c r="D2" s="11"/>
      <c r="N2" s="16" t="s">
        <v>520</v>
      </c>
    </row>
    <row r="3" spans="1:14" ht="24" customHeight="1">
      <c r="A3" s="751"/>
      <c r="B3" s="752"/>
      <c r="C3" s="752"/>
      <c r="N3" s="16" t="s">
        <v>474</v>
      </c>
    </row>
    <row r="4" spans="1:14" ht="24" customHeight="1">
      <c r="A4" s="19"/>
      <c r="B4" s="20"/>
      <c r="C4" s="20"/>
    </row>
    <row r="5" spans="1:14" ht="20.100000000000001" customHeight="1">
      <c r="A5" s="21"/>
      <c r="C5" s="36"/>
      <c r="N5" s="16" t="s">
        <v>523</v>
      </c>
    </row>
    <row r="6" spans="1:14" ht="18" customHeight="1">
      <c r="A6" s="25"/>
      <c r="C6" s="46"/>
      <c r="D6" s="23"/>
      <c r="E6" s="24"/>
    </row>
    <row r="7" spans="1:14" ht="18" customHeight="1">
      <c r="A7" s="26"/>
      <c r="B7" s="20"/>
      <c r="C7" s="58"/>
      <c r="D7" s="23"/>
      <c r="E7" s="24"/>
    </row>
    <row r="8" spans="1:14" ht="15" customHeight="1">
      <c r="A8" s="27"/>
      <c r="B8" s="28"/>
      <c r="C8" s="29"/>
      <c r="D8" s="23"/>
      <c r="E8" s="24"/>
    </row>
    <row r="9" spans="1:14" ht="20.100000000000001" customHeight="1">
      <c r="A9" s="55"/>
      <c r="C9" s="753"/>
    </row>
    <row r="10" spans="1:14" ht="24.75" customHeight="1">
      <c r="A10" s="55"/>
      <c r="C10" s="754"/>
      <c r="D10" s="30"/>
      <c r="E10" s="31"/>
    </row>
    <row r="11" spans="1:14" ht="30" customHeight="1">
      <c r="A11" s="55"/>
      <c r="C11" s="754"/>
      <c r="D11" s="30"/>
      <c r="E11" s="31"/>
    </row>
    <row r="12" spans="1:14" ht="39.75" customHeight="1">
      <c r="A12" s="29"/>
      <c r="B12" s="29"/>
      <c r="C12" s="29"/>
      <c r="D12" s="30"/>
      <c r="E12" s="31"/>
    </row>
    <row r="13" spans="1:14" ht="20.100000000000001" customHeight="1">
      <c r="A13" s="56"/>
      <c r="C13" s="25"/>
      <c r="D13" s="30"/>
      <c r="E13" s="31"/>
    </row>
    <row r="14" spans="1:14" ht="20.100000000000001" customHeight="1">
      <c r="A14" s="54"/>
      <c r="C14" s="25"/>
      <c r="D14" s="30"/>
      <c r="E14" s="31"/>
    </row>
    <row r="15" spans="1:14" ht="20.100000000000001" customHeight="1">
      <c r="A15" s="57"/>
      <c r="C15" s="25"/>
      <c r="D15" s="30"/>
      <c r="E15" s="31"/>
    </row>
    <row r="16" spans="1:14" ht="20.100000000000001" customHeight="1">
      <c r="A16" s="56"/>
      <c r="C16" s="32"/>
      <c r="D16" s="30"/>
      <c r="E16" s="31"/>
    </row>
    <row r="17" spans="1:6" ht="50.1" customHeight="1">
      <c r="A17" s="56"/>
      <c r="C17" s="32"/>
      <c r="D17" s="30"/>
      <c r="E17" s="31"/>
    </row>
    <row r="18" spans="1:6" ht="20.100000000000001" customHeight="1">
      <c r="A18" s="22"/>
      <c r="B18" s="34"/>
      <c r="C18" s="34"/>
      <c r="D18" s="33"/>
      <c r="E18" s="34"/>
      <c r="F18" s="34"/>
    </row>
    <row r="19" spans="1:6" s="34" customFormat="1" ht="20.100000000000001" customHeight="1">
      <c r="A19" s="32"/>
      <c r="B19"/>
      <c r="C19"/>
      <c r="D19" s="30"/>
      <c r="E19" s="31"/>
      <c r="F19"/>
    </row>
    <row r="20" spans="1:6" ht="20.100000000000001" customHeight="1">
      <c r="A20" s="32"/>
      <c r="B20" s="22"/>
      <c r="C20" s="22"/>
      <c r="D20" s="30"/>
      <c r="E20" s="31"/>
    </row>
    <row r="21" spans="1:6" ht="20.100000000000001" customHeight="1">
      <c r="A21" s="32"/>
      <c r="B21" s="22"/>
      <c r="C21" s="22"/>
      <c r="D21" s="30"/>
      <c r="E21" s="31"/>
    </row>
    <row r="22" spans="1:6" ht="50.1" customHeight="1">
      <c r="D22" s="30"/>
      <c r="E22" s="31"/>
    </row>
    <row r="23" spans="1:6" ht="15" customHeight="1">
      <c r="A23" s="36"/>
      <c r="B23" s="494"/>
      <c r="C23" s="495"/>
      <c r="D23" s="30"/>
      <c r="E23" s="31"/>
    </row>
    <row r="24" spans="1:6" ht="15" customHeight="1">
      <c r="A24" s="35"/>
      <c r="C24" s="496"/>
      <c r="D24" s="31"/>
      <c r="E24" s="31"/>
    </row>
    <row r="25" spans="1:6" ht="60" customHeight="1">
      <c r="A25" s="40"/>
      <c r="B25" s="41"/>
      <c r="C25" s="11"/>
      <c r="D25" s="39"/>
      <c r="E25" s="31"/>
    </row>
    <row r="26" spans="1:6" ht="12" customHeight="1">
      <c r="A26" s="40"/>
      <c r="B26" s="41"/>
      <c r="C26" s="11"/>
      <c r="D26" s="42"/>
      <c r="E26" s="42"/>
    </row>
    <row r="27" spans="1:6" ht="12" customHeight="1">
      <c r="A27" s="40"/>
      <c r="B27" s="41"/>
      <c r="C27" s="11"/>
      <c r="D27" s="39"/>
      <c r="E27" s="31"/>
    </row>
    <row r="28" spans="1:6" ht="12" customHeight="1">
      <c r="A28" s="40"/>
      <c r="B28" s="41"/>
      <c r="C28" s="11"/>
      <c r="D28" s="39"/>
      <c r="E28" s="31"/>
    </row>
    <row r="29" spans="1:6" ht="12" customHeight="1">
      <c r="A29" s="497"/>
      <c r="B29" s="498"/>
      <c r="C29" s="498"/>
    </row>
    <row r="30" spans="1:6" ht="20.100000000000001" customHeight="1">
      <c r="A30" s="497"/>
      <c r="B30" s="498"/>
      <c r="C30" s="498"/>
    </row>
    <row r="31" spans="1:6" ht="12" customHeight="1">
      <c r="A31" s="14"/>
      <c r="B31" s="43"/>
      <c r="C31" s="43"/>
      <c r="E31"/>
    </row>
    <row r="32" spans="1:6">
      <c r="A32" s="14"/>
      <c r="B32" s="43"/>
      <c r="C32" s="43"/>
    </row>
    <row r="33" spans="1:5">
      <c r="A33" s="16"/>
      <c r="B33" s="43"/>
      <c r="C33" s="43"/>
    </row>
    <row r="34" spans="1:5">
      <c r="A34" s="16"/>
      <c r="B34" s="43"/>
      <c r="C34" s="43"/>
    </row>
    <row r="35" spans="1:5">
      <c r="A35" s="16"/>
      <c r="B35" s="43"/>
      <c r="C35" s="43"/>
    </row>
    <row r="36" spans="1:5">
      <c r="A36" s="40"/>
      <c r="B36" s="43"/>
      <c r="C36" s="43"/>
      <c r="D36" s="41"/>
      <c r="E36" s="41"/>
    </row>
    <row r="37" spans="1:5" ht="15.75">
      <c r="A37" s="35"/>
      <c r="B37" s="51"/>
      <c r="C37" s="51"/>
      <c r="D37" s="41"/>
      <c r="E37" s="41"/>
    </row>
    <row r="38" spans="1:5" ht="15" customHeight="1">
      <c r="A38" s="35"/>
      <c r="B38" s="52"/>
      <c r="C38" s="53"/>
      <c r="D38" s="41"/>
      <c r="E38" s="41"/>
    </row>
    <row r="39" spans="1:5" ht="15" customHeight="1">
      <c r="A39" s="35"/>
      <c r="B39" s="52"/>
      <c r="C39" s="53"/>
      <c r="D39" s="41"/>
      <c r="E39" s="41"/>
    </row>
    <row r="40" spans="1:5" ht="15" customHeight="1">
      <c r="A40" s="35"/>
      <c r="B40" s="52"/>
      <c r="C40" s="53"/>
      <c r="D40" s="41"/>
      <c r="E40" s="41"/>
    </row>
    <row r="41" spans="1:5" ht="15" customHeight="1">
      <c r="A41" s="40"/>
      <c r="B41" s="40"/>
      <c r="C41" s="44"/>
      <c r="D41" s="41"/>
      <c r="E41" s="41"/>
    </row>
    <row r="42" spans="1:5" ht="12" customHeight="1">
      <c r="A42" s="27"/>
    </row>
    <row r="43" spans="1:5" ht="20.100000000000001" customHeight="1">
      <c r="A43" s="45"/>
    </row>
    <row r="44" spans="1:5" ht="30" customHeight="1">
      <c r="A44" s="45"/>
    </row>
    <row r="45" spans="1:5" ht="24.75" customHeight="1">
      <c r="A45" s="45"/>
    </row>
    <row r="46" spans="1:5" ht="35.1" customHeight="1"/>
  </sheetData>
  <mergeCells count="4">
    <mergeCell ref="A1:C1"/>
    <mergeCell ref="A2:C2"/>
    <mergeCell ref="A3:C3"/>
    <mergeCell ref="C9:C11"/>
  </mergeCells>
  <pageMargins left="0.98425196850393704" right="0.19685039370078741" top="0.59055118110236227" bottom="0.59055118110236227" header="0.51181102362204722" footer="0.39370078740157483"/>
  <pageSetup paperSize="9" scale="58" fitToHeight="2" orientation="portrait" horizontalDpi="300" verticalDpi="300" r:id="rId1"/>
  <headerFooter alignWithMargins="0">
    <oddFooter xml:space="preserve">&amp;R&amp;5&amp;F     &amp;A   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E4C36-3539-4BC6-AFBA-C43FF0DAF587}">
  <sheetPr codeName="Tabelle134">
    <pageSetUpPr fitToPage="1"/>
  </sheetPr>
  <dimension ref="A1:O41"/>
  <sheetViews>
    <sheetView zoomScale="70" zoomScaleNormal="70" zoomScaleSheetLayoutView="62" workbookViewId="0">
      <selection activeCell="K1" sqref="K1"/>
    </sheetView>
  </sheetViews>
  <sheetFormatPr baseColWidth="10" defaultColWidth="11.5703125" defaultRowHeight="12.75"/>
  <cols>
    <col min="1" max="1" width="5.42578125" style="127" customWidth="1"/>
    <col min="2" max="2" width="26.7109375" style="127" customWidth="1"/>
    <col min="3" max="3" width="16.42578125" style="127" customWidth="1"/>
    <col min="4" max="4" width="5.5703125" style="127" customWidth="1"/>
    <col min="5" max="5" width="2.5703125" style="127" customWidth="1"/>
    <col min="6" max="6" width="6.5703125" style="127" customWidth="1"/>
    <col min="7" max="7" width="22.42578125" style="127" customWidth="1"/>
    <col min="8" max="8" width="16.5703125" style="127" customWidth="1"/>
    <col min="9" max="9" width="6" style="127" customWidth="1"/>
    <col min="10" max="10" width="4.7109375" style="127" customWidth="1"/>
    <col min="11" max="11" width="2.42578125" style="127" customWidth="1"/>
    <col min="12" max="12" width="13.5703125" style="128" customWidth="1"/>
    <col min="13" max="13" width="23.28515625" style="128" customWidth="1"/>
    <col min="14" max="16384" width="11.5703125" style="127"/>
  </cols>
  <sheetData>
    <row r="1" spans="1:15" ht="18" customHeight="1">
      <c r="A1" s="581">
        <v>0</v>
      </c>
      <c r="B1" s="509"/>
      <c r="C1" s="510"/>
      <c r="D1" s="510"/>
      <c r="E1" s="510"/>
      <c r="F1" s="510"/>
      <c r="G1" s="511"/>
      <c r="H1" s="509" t="s">
        <v>13</v>
      </c>
      <c r="I1" s="512"/>
      <c r="J1" s="513">
        <v>1</v>
      </c>
      <c r="K1" s="146"/>
      <c r="L1" s="127"/>
      <c r="M1" s="142"/>
      <c r="O1" s="142"/>
    </row>
    <row r="2" spans="1:15" ht="30" customHeight="1" thickBot="1">
      <c r="A2" s="582"/>
      <c r="B2" s="755" t="s">
        <v>228</v>
      </c>
      <c r="C2" s="756"/>
      <c r="D2" s="756"/>
      <c r="E2" s="756"/>
      <c r="F2" s="756"/>
      <c r="G2" s="756"/>
      <c r="H2" s="756"/>
      <c r="I2" s="146"/>
      <c r="J2" s="146"/>
      <c r="K2" s="146"/>
      <c r="L2" s="127"/>
      <c r="M2" s="142"/>
      <c r="O2" s="142"/>
    </row>
    <row r="3" spans="1:15" ht="21" thickBot="1">
      <c r="A3" s="143"/>
      <c r="B3" s="583" t="s">
        <v>95</v>
      </c>
      <c r="C3" s="381"/>
      <c r="D3" s="382" t="s">
        <v>29</v>
      </c>
      <c r="E3" s="382"/>
      <c r="F3" s="383"/>
      <c r="G3" s="382"/>
      <c r="H3" s="384" t="s">
        <v>558</v>
      </c>
      <c r="K3" s="145"/>
      <c r="L3" s="127"/>
      <c r="M3" s="144"/>
      <c r="O3" s="144"/>
    </row>
    <row r="4" spans="1:15" ht="20.25" customHeight="1">
      <c r="A4" s="143"/>
      <c r="B4" s="142"/>
      <c r="C4" s="584"/>
      <c r="D4" s="142"/>
      <c r="E4" s="142"/>
      <c r="F4" s="142"/>
      <c r="G4" s="143"/>
      <c r="H4" s="245"/>
      <c r="J4" s="585"/>
      <c r="K4" s="143"/>
      <c r="L4" s="127"/>
      <c r="M4" s="142"/>
      <c r="O4" s="142"/>
    </row>
    <row r="5" spans="1:15" ht="20.25" customHeight="1" thickBot="1">
      <c r="A5" s="143"/>
      <c r="B5" s="142"/>
      <c r="C5" s="584"/>
      <c r="D5" s="142"/>
      <c r="E5" s="142"/>
      <c r="F5" s="142"/>
      <c r="G5" s="143"/>
      <c r="H5" s="245"/>
      <c r="J5" s="585"/>
      <c r="K5" s="143"/>
      <c r="L5" s="127"/>
      <c r="M5" s="142"/>
      <c r="O5" s="142"/>
    </row>
    <row r="6" spans="1:15" ht="20.25" customHeight="1">
      <c r="A6" s="143">
        <v>7</v>
      </c>
      <c r="B6" s="520" t="s">
        <v>198</v>
      </c>
      <c r="C6" s="586" t="s">
        <v>99</v>
      </c>
      <c r="D6" s="522"/>
      <c r="E6" s="522"/>
      <c r="F6" s="522"/>
      <c r="G6" s="522" t="s">
        <v>103</v>
      </c>
      <c r="H6" s="586" t="s">
        <v>356</v>
      </c>
      <c r="I6" s="293"/>
      <c r="J6" s="587"/>
      <c r="K6" s="376"/>
      <c r="L6" s="127"/>
      <c r="M6" s="142"/>
      <c r="O6" s="142"/>
    </row>
    <row r="7" spans="1:15" ht="20.25" customHeight="1">
      <c r="A7" s="143"/>
      <c r="B7" s="238"/>
      <c r="C7" s="516"/>
      <c r="D7" s="239"/>
      <c r="E7" s="467"/>
      <c r="F7" s="240"/>
      <c r="G7" s="450"/>
      <c r="H7" s="516"/>
      <c r="I7" s="375"/>
      <c r="J7" s="588"/>
      <c r="K7" s="376"/>
      <c r="L7" s="127"/>
      <c r="M7" s="142"/>
      <c r="O7" s="142"/>
    </row>
    <row r="8" spans="1:15" ht="20.25" customHeight="1">
      <c r="A8" s="143"/>
      <c r="B8" s="589"/>
      <c r="C8" s="590"/>
      <c r="D8" s="591"/>
      <c r="E8" s="592"/>
      <c r="F8" s="593"/>
      <c r="G8" s="594"/>
      <c r="H8" s="595"/>
      <c r="I8" s="596"/>
      <c r="J8" s="588"/>
      <c r="K8" s="376"/>
      <c r="L8" s="127"/>
      <c r="M8" s="142"/>
      <c r="O8" s="142"/>
    </row>
    <row r="9" spans="1:15" ht="20.25" customHeight="1" thickBot="1">
      <c r="A9" s="143"/>
      <c r="B9" s="597" t="s">
        <v>199</v>
      </c>
      <c r="C9" s="598">
        <f>SUM(C8:C8)</f>
        <v>0</v>
      </c>
      <c r="D9" s="599"/>
      <c r="E9" s="600"/>
      <c r="F9" s="601"/>
      <c r="G9" s="514">
        <f>SUM(G8:G8)</f>
        <v>0</v>
      </c>
      <c r="H9" s="508">
        <f>SUM(H8:H8)</f>
        <v>0</v>
      </c>
      <c r="I9" s="602"/>
      <c r="J9" s="603"/>
      <c r="K9" s="376"/>
      <c r="L9" s="127"/>
      <c r="M9" s="142"/>
      <c r="O9" s="142"/>
    </row>
    <row r="10" spans="1:15" ht="20.25" customHeight="1" thickBot="1">
      <c r="A10" s="135"/>
      <c r="B10" s="265"/>
      <c r="C10" s="532"/>
      <c r="D10" s="290"/>
      <c r="E10" s="604"/>
      <c r="F10" s="534"/>
      <c r="G10" s="533"/>
      <c r="H10" s="237"/>
      <c r="I10" s="290"/>
      <c r="J10" s="604"/>
      <c r="K10" s="141"/>
      <c r="L10" s="127"/>
      <c r="M10" s="142"/>
      <c r="O10" s="142"/>
    </row>
    <row r="11" spans="1:15" ht="20.25" customHeight="1">
      <c r="A11" s="258">
        <v>1</v>
      </c>
      <c r="B11" s="520" t="s">
        <v>94</v>
      </c>
      <c r="C11" s="586" t="s">
        <v>99</v>
      </c>
      <c r="D11" s="605"/>
      <c r="E11" s="522"/>
      <c r="F11" s="522"/>
      <c r="G11" s="522" t="s">
        <v>103</v>
      </c>
      <c r="H11" s="586" t="s">
        <v>356</v>
      </c>
      <c r="I11" s="606"/>
      <c r="J11" s="607"/>
      <c r="K11" s="377"/>
      <c r="L11" s="127"/>
      <c r="M11" s="135"/>
      <c r="O11" s="135"/>
    </row>
    <row r="12" spans="1:15" ht="18" customHeight="1">
      <c r="A12" s="258"/>
      <c r="B12" s="608"/>
      <c r="C12" s="595"/>
      <c r="D12" s="596"/>
      <c r="E12" s="609"/>
      <c r="F12" s="593"/>
      <c r="G12" s="610"/>
      <c r="H12" s="595"/>
      <c r="I12" s="596"/>
      <c r="J12" s="588"/>
      <c r="K12" s="377"/>
      <c r="L12" s="127"/>
      <c r="M12" s="135"/>
      <c r="O12" s="135"/>
    </row>
    <row r="13" spans="1:15" ht="20.25" customHeight="1">
      <c r="A13" s="258"/>
      <c r="B13" s="608"/>
      <c r="C13" s="595"/>
      <c r="D13" s="596"/>
      <c r="E13" s="609"/>
      <c r="F13" s="593"/>
      <c r="G13" s="610"/>
      <c r="H13" s="595"/>
      <c r="I13" s="596"/>
      <c r="J13" s="588"/>
      <c r="K13" s="377"/>
      <c r="L13" s="127"/>
      <c r="M13" s="135"/>
      <c r="O13" s="135"/>
    </row>
    <row r="14" spans="1:15" ht="20.25" customHeight="1" thickBot="1">
      <c r="A14" s="259"/>
      <c r="B14" s="563" t="s">
        <v>93</v>
      </c>
      <c r="C14" s="611">
        <f>SUM(C12:C13)</f>
        <v>0</v>
      </c>
      <c r="D14" s="612"/>
      <c r="E14" s="613"/>
      <c r="F14" s="614"/>
      <c r="G14" s="515">
        <f>SUM(G12:G13)</f>
        <v>0</v>
      </c>
      <c r="H14" s="611">
        <f>SUM(H12:H13)</f>
        <v>0</v>
      </c>
      <c r="I14" s="612"/>
      <c r="J14" s="615"/>
      <c r="K14" s="378"/>
      <c r="L14" s="127"/>
      <c r="M14" s="135"/>
      <c r="O14" s="135"/>
    </row>
    <row r="15" spans="1:15" ht="20.25" customHeight="1" thickBot="1">
      <c r="A15" s="259"/>
      <c r="B15" s="561"/>
      <c r="C15" s="616"/>
      <c r="D15" s="617"/>
      <c r="E15" s="618"/>
      <c r="F15" s="619"/>
      <c r="G15" s="620"/>
      <c r="H15" s="616"/>
      <c r="I15" s="617"/>
      <c r="J15" s="621"/>
      <c r="K15" s="137"/>
      <c r="L15" s="127"/>
      <c r="M15" s="135"/>
      <c r="O15" s="135"/>
    </row>
    <row r="16" spans="1:15" ht="20.25" customHeight="1">
      <c r="A16" s="258">
        <v>6</v>
      </c>
      <c r="B16" s="563" t="s">
        <v>510</v>
      </c>
      <c r="C16" s="622" t="s">
        <v>99</v>
      </c>
      <c r="D16" s="529"/>
      <c r="E16" s="265"/>
      <c r="F16" s="265"/>
      <c r="G16" s="265" t="s">
        <v>103</v>
      </c>
      <c r="H16" s="622" t="s">
        <v>356</v>
      </c>
      <c r="I16" s="290"/>
      <c r="J16" s="623"/>
      <c r="K16" s="377"/>
      <c r="L16" s="127"/>
      <c r="M16" s="135"/>
      <c r="O16" s="135"/>
    </row>
    <row r="17" spans="1:15" ht="20.25" customHeight="1">
      <c r="A17" s="258"/>
      <c r="B17" s="608"/>
      <c r="C17" s="595"/>
      <c r="D17" s="596"/>
      <c r="E17" s="609"/>
      <c r="F17" s="593"/>
      <c r="G17" s="594">
        <f>H17-C17</f>
        <v>0</v>
      </c>
      <c r="H17" s="595"/>
      <c r="I17" s="596"/>
      <c r="J17" s="588"/>
      <c r="K17" s="377"/>
      <c r="L17" s="127"/>
      <c r="M17" s="135"/>
      <c r="O17" s="135"/>
    </row>
    <row r="18" spans="1:15" ht="15.6" customHeight="1">
      <c r="A18" s="258"/>
      <c r="B18" s="608"/>
      <c r="C18" s="595"/>
      <c r="D18" s="596"/>
      <c r="E18" s="609"/>
      <c r="F18" s="593"/>
      <c r="G18" s="594">
        <f>H18-C18</f>
        <v>0</v>
      </c>
      <c r="H18" s="595"/>
      <c r="I18" s="596"/>
      <c r="J18" s="588"/>
      <c r="K18" s="377"/>
      <c r="L18" s="127"/>
      <c r="M18" s="135"/>
      <c r="O18" s="135"/>
    </row>
    <row r="19" spans="1:15" ht="20.25" customHeight="1" thickBot="1">
      <c r="A19" s="259"/>
      <c r="B19" s="597" t="s">
        <v>511</v>
      </c>
      <c r="C19" s="508">
        <f>SUM(C17:C18)</f>
        <v>0</v>
      </c>
      <c r="D19" s="602"/>
      <c r="E19" s="624"/>
      <c r="F19" s="625"/>
      <c r="G19" s="503">
        <f>SUM(G17:G18)</f>
        <v>0</v>
      </c>
      <c r="H19" s="508">
        <f>SUM(H17:H18)</f>
        <v>0</v>
      </c>
      <c r="I19" s="602"/>
      <c r="J19" s="626"/>
      <c r="K19" s="378"/>
      <c r="L19" s="127"/>
      <c r="M19" s="135"/>
      <c r="O19" s="135"/>
    </row>
    <row r="20" spans="1:15" ht="20.25" customHeight="1" thickBot="1">
      <c r="A20" s="259"/>
      <c r="B20" s="265"/>
      <c r="C20" s="627"/>
      <c r="D20" s="290"/>
      <c r="E20" s="628"/>
      <c r="F20" s="262"/>
      <c r="G20" s="153"/>
      <c r="H20" s="237"/>
      <c r="I20" s="290"/>
      <c r="J20" s="628"/>
      <c r="K20" s="137"/>
      <c r="L20" s="127"/>
      <c r="M20" s="135"/>
      <c r="O20" s="135"/>
    </row>
    <row r="21" spans="1:15" ht="20.25" customHeight="1">
      <c r="A21" s="259">
        <v>2</v>
      </c>
      <c r="B21" s="536" t="s">
        <v>200</v>
      </c>
      <c r="C21" s="629" t="s">
        <v>96</v>
      </c>
      <c r="D21" s="605"/>
      <c r="E21" s="607"/>
      <c r="F21" s="265"/>
      <c r="G21" s="536" t="s">
        <v>226</v>
      </c>
      <c r="H21" s="629" t="s">
        <v>96</v>
      </c>
      <c r="I21" s="606"/>
      <c r="J21" s="607"/>
      <c r="K21" s="377"/>
      <c r="L21" s="127"/>
      <c r="M21" s="135"/>
      <c r="O21" s="135"/>
    </row>
    <row r="22" spans="1:15" ht="20.25" customHeight="1">
      <c r="A22" s="259"/>
      <c r="B22" s="545"/>
      <c r="C22" s="611"/>
      <c r="D22" s="630"/>
      <c r="E22" s="631"/>
      <c r="F22" s="266"/>
      <c r="G22" s="632"/>
      <c r="H22" s="611"/>
      <c r="I22" s="630"/>
      <c r="J22" s="633"/>
      <c r="K22" s="377"/>
      <c r="L22" s="127"/>
      <c r="M22" s="135"/>
      <c r="O22" s="135"/>
    </row>
    <row r="23" spans="1:15" ht="20.25" customHeight="1">
      <c r="A23" s="259"/>
      <c r="B23" s="555"/>
      <c r="C23" s="634"/>
      <c r="D23" s="630"/>
      <c r="E23" s="631"/>
      <c r="F23" s="266"/>
      <c r="G23" s="635"/>
      <c r="H23" s="634"/>
      <c r="I23" s="630"/>
      <c r="J23" s="633"/>
      <c r="K23" s="377"/>
      <c r="L23" s="127"/>
      <c r="M23" s="135"/>
      <c r="O23" s="135"/>
    </row>
    <row r="24" spans="1:15" ht="20.25" customHeight="1" thickBot="1">
      <c r="A24" s="259"/>
      <c r="B24" s="636" t="s">
        <v>203</v>
      </c>
      <c r="C24" s="637">
        <f>SUM(C22:C23)</f>
        <v>0</v>
      </c>
      <c r="D24" s="638"/>
      <c r="E24" s="639"/>
      <c r="F24" s="263"/>
      <c r="G24" s="640" t="s">
        <v>230</v>
      </c>
      <c r="H24" s="637">
        <f>SUM(H22:H23)</f>
        <v>0</v>
      </c>
      <c r="I24" s="638"/>
      <c r="J24" s="639"/>
      <c r="K24" s="377"/>
      <c r="L24" s="127"/>
      <c r="M24" s="135"/>
      <c r="O24" s="135"/>
    </row>
    <row r="25" spans="1:15" ht="20.25" customHeight="1" thickBot="1">
      <c r="A25" s="259"/>
      <c r="B25" s="265"/>
      <c r="C25" s="531"/>
      <c r="D25" s="290"/>
      <c r="E25" s="641"/>
      <c r="F25" s="263"/>
      <c r="G25" s="136"/>
      <c r="H25" s="531"/>
      <c r="I25" s="290"/>
      <c r="J25" s="641"/>
      <c r="K25" s="139"/>
      <c r="L25" s="127"/>
      <c r="M25" s="135"/>
      <c r="O25" s="135"/>
    </row>
    <row r="26" spans="1:15" ht="20.25" customHeight="1">
      <c r="A26" s="259">
        <v>4</v>
      </c>
      <c r="B26" s="536" t="s">
        <v>201</v>
      </c>
      <c r="C26" s="629" t="s">
        <v>96</v>
      </c>
      <c r="D26" s="605"/>
      <c r="E26" s="607"/>
      <c r="F26" s="265"/>
      <c r="G26" s="536" t="s">
        <v>227</v>
      </c>
      <c r="H26" s="629" t="s">
        <v>96</v>
      </c>
      <c r="I26" s="606"/>
      <c r="J26" s="607"/>
      <c r="K26" s="377"/>
      <c r="L26" s="127"/>
      <c r="M26" s="135"/>
      <c r="O26" s="135"/>
    </row>
    <row r="27" spans="1:15" ht="20.25" customHeight="1">
      <c r="A27" s="259"/>
      <c r="B27" s="608"/>
      <c r="C27" s="595"/>
      <c r="D27" s="596"/>
      <c r="E27" s="642"/>
      <c r="F27" s="266"/>
      <c r="G27" s="643"/>
      <c r="H27" s="595"/>
      <c r="I27" s="596"/>
      <c r="J27" s="588"/>
      <c r="K27" s="377"/>
      <c r="L27" s="127"/>
      <c r="M27" s="135"/>
      <c r="O27" s="135"/>
    </row>
    <row r="28" spans="1:15" ht="20.25" customHeight="1">
      <c r="A28" s="259"/>
      <c r="B28" s="644"/>
      <c r="C28" s="595"/>
      <c r="D28" s="596"/>
      <c r="E28" s="642"/>
      <c r="F28" s="266"/>
      <c r="G28" s="645"/>
      <c r="H28" s="595"/>
      <c r="I28" s="596"/>
      <c r="J28" s="588"/>
      <c r="K28" s="377"/>
      <c r="L28" s="127"/>
      <c r="M28" s="135"/>
      <c r="O28" s="135"/>
    </row>
    <row r="29" spans="1:15" ht="20.25" customHeight="1" thickBot="1">
      <c r="A29" s="259"/>
      <c r="B29" s="597" t="s">
        <v>202</v>
      </c>
      <c r="C29" s="508">
        <f>SUM(C27:C28)</f>
        <v>0</v>
      </c>
      <c r="D29" s="602"/>
      <c r="E29" s="626"/>
      <c r="F29" s="263"/>
      <c r="G29" s="646" t="s">
        <v>231</v>
      </c>
      <c r="H29" s="508">
        <f>SUM(H27:H28)</f>
        <v>0</v>
      </c>
      <c r="I29" s="602"/>
      <c r="J29" s="647"/>
      <c r="K29" s="377"/>
      <c r="L29" s="127"/>
      <c r="M29" s="135"/>
      <c r="O29" s="135"/>
    </row>
    <row r="30" spans="1:15" ht="20.25" customHeight="1">
      <c r="A30" s="259"/>
      <c r="B30" s="265"/>
      <c r="C30" s="531"/>
      <c r="D30" s="290"/>
      <c r="E30" s="641"/>
      <c r="F30" s="263"/>
      <c r="G30" s="136"/>
      <c r="H30" s="531"/>
      <c r="I30" s="290"/>
      <c r="J30" s="648"/>
      <c r="K30" s="139"/>
      <c r="L30" s="127"/>
      <c r="M30" s="135"/>
      <c r="O30" s="135"/>
    </row>
    <row r="31" spans="1:15" ht="20.25" customHeight="1" thickBot="1">
      <c r="A31" s="259"/>
      <c r="B31" s="265"/>
      <c r="C31" s="237"/>
      <c r="D31" s="290"/>
      <c r="E31" s="649"/>
      <c r="F31" s="134"/>
      <c r="G31" s="140"/>
      <c r="H31" s="237"/>
      <c r="I31" s="290"/>
      <c r="J31" s="648"/>
      <c r="K31" s="134"/>
      <c r="L31" s="127"/>
      <c r="M31" s="135"/>
      <c r="O31" s="135"/>
    </row>
    <row r="32" spans="1:15" ht="20.25" customHeight="1">
      <c r="A32" s="259">
        <v>12</v>
      </c>
      <c r="B32" s="650" t="s">
        <v>100</v>
      </c>
      <c r="C32" s="651" t="s">
        <v>102</v>
      </c>
      <c r="D32" s="605"/>
      <c r="E32" s="522"/>
      <c r="F32" s="522"/>
      <c r="G32" s="652" t="s">
        <v>103</v>
      </c>
      <c r="H32" s="651" t="s">
        <v>94</v>
      </c>
      <c r="I32" s="606"/>
      <c r="J32" s="653"/>
      <c r="K32" s="379"/>
      <c r="L32" s="127"/>
      <c r="M32" s="135"/>
      <c r="O32" s="135"/>
    </row>
    <row r="33" spans="1:15" ht="16.5" customHeight="1">
      <c r="A33" s="259"/>
      <c r="B33" s="267"/>
      <c r="C33" s="654" t="s">
        <v>99</v>
      </c>
      <c r="D33" s="655"/>
      <c r="E33" s="656"/>
      <c r="F33" s="656"/>
      <c r="G33" s="657" t="s">
        <v>104</v>
      </c>
      <c r="H33" s="658" t="s">
        <v>356</v>
      </c>
      <c r="I33" s="290"/>
      <c r="J33" s="659"/>
      <c r="K33" s="379"/>
      <c r="L33" s="127"/>
      <c r="M33" s="135"/>
      <c r="O33" s="135"/>
    </row>
    <row r="34" spans="1:15" ht="16.5" customHeight="1">
      <c r="A34" s="258"/>
      <c r="B34" s="660" t="s">
        <v>98</v>
      </c>
      <c r="C34" s="595">
        <f>C14</f>
        <v>0</v>
      </c>
      <c r="D34" s="661"/>
      <c r="E34" s="662"/>
      <c r="F34" s="662"/>
      <c r="G34" s="663">
        <f>H34-C34</f>
        <v>0</v>
      </c>
      <c r="H34" s="634">
        <f>H14</f>
        <v>0</v>
      </c>
      <c r="I34" s="630"/>
      <c r="J34" s="664" t="s">
        <v>229</v>
      </c>
      <c r="K34" s="378"/>
      <c r="L34" s="127"/>
      <c r="M34" s="135"/>
      <c r="O34" s="135"/>
    </row>
    <row r="35" spans="1:15" ht="20.25" customHeight="1" thickBot="1">
      <c r="A35" s="259"/>
      <c r="B35" s="665" t="s">
        <v>97</v>
      </c>
      <c r="C35" s="508"/>
      <c r="D35" s="666"/>
      <c r="E35" s="667"/>
      <c r="F35" s="667"/>
      <c r="G35" s="668">
        <f>H34-C35</f>
        <v>0</v>
      </c>
      <c r="H35" s="669">
        <f>H14</f>
        <v>0</v>
      </c>
      <c r="I35" s="638"/>
      <c r="J35" s="670" t="s">
        <v>229</v>
      </c>
      <c r="K35" s="380"/>
      <c r="L35" s="127"/>
      <c r="M35" s="127"/>
    </row>
    <row r="36" spans="1:15" ht="20.25" customHeight="1">
      <c r="A36" s="259"/>
      <c r="B36" s="265"/>
      <c r="C36" s="531"/>
      <c r="D36" s="290"/>
      <c r="E36" s="263"/>
      <c r="F36" s="263"/>
      <c r="G36" s="263"/>
      <c r="H36" s="531"/>
      <c r="I36" s="290"/>
      <c r="J36" s="264"/>
      <c r="K36" s="130"/>
      <c r="L36" s="127"/>
      <c r="M36" s="127"/>
    </row>
    <row r="37" spans="1:15" ht="20.25" customHeight="1">
      <c r="A37" s="259"/>
      <c r="B37" s="265"/>
      <c r="C37" s="531"/>
      <c r="D37" s="290"/>
      <c r="E37" s="263"/>
      <c r="F37" s="263"/>
      <c r="G37" s="263"/>
      <c r="H37" s="531"/>
      <c r="I37" s="671"/>
      <c r="J37" s="264"/>
      <c r="K37" s="130"/>
      <c r="L37" s="127"/>
      <c r="M37" s="127"/>
    </row>
    <row r="38" spans="1:15" ht="20.25" customHeight="1">
      <c r="A38" s="259"/>
      <c r="B38" s="265"/>
      <c r="C38" s="531"/>
      <c r="D38" s="672"/>
      <c r="E38" s="263"/>
      <c r="F38" s="263"/>
      <c r="G38" s="263"/>
      <c r="H38" s="531"/>
      <c r="I38" s="671"/>
      <c r="J38" s="264"/>
      <c r="K38" s="130"/>
      <c r="L38" s="127"/>
      <c r="M38" s="127"/>
    </row>
    <row r="39" spans="1:15" ht="20.25" customHeight="1">
      <c r="A39" s="259"/>
      <c r="B39" s="265"/>
      <c r="C39" s="531"/>
      <c r="D39" s="672"/>
      <c r="E39" s="263"/>
      <c r="F39" s="263"/>
      <c r="G39" s="263"/>
      <c r="H39" s="673"/>
      <c r="I39" s="674"/>
      <c r="J39" s="264"/>
      <c r="K39" s="130"/>
      <c r="L39" s="127"/>
      <c r="M39" s="127"/>
    </row>
    <row r="40" spans="1:15" ht="20.25" customHeight="1">
      <c r="A40" s="127">
        <v>13</v>
      </c>
      <c r="B40" s="656"/>
      <c r="C40" s="675"/>
      <c r="D40" s="676"/>
      <c r="E40" s="677"/>
      <c r="F40" s="677"/>
      <c r="G40" s="678"/>
      <c r="H40" s="679"/>
      <c r="I40" s="678"/>
      <c r="J40" s="680"/>
      <c r="L40" s="127"/>
      <c r="M40" s="127"/>
    </row>
    <row r="41" spans="1:15" ht="20.25" customHeight="1">
      <c r="A41" s="127" t="s">
        <v>14</v>
      </c>
      <c r="B41" s="265" t="s">
        <v>90</v>
      </c>
      <c r="D41" s="681" t="s">
        <v>91</v>
      </c>
      <c r="E41" s="265"/>
      <c r="F41" s="265"/>
      <c r="G41" s="265" t="s">
        <v>0</v>
      </c>
      <c r="H41" s="682"/>
      <c r="I41" s="682" t="s">
        <v>1</v>
      </c>
      <c r="J41" s="259"/>
      <c r="L41" s="127"/>
      <c r="M41" s="127"/>
    </row>
  </sheetData>
  <mergeCells count="1">
    <mergeCell ref="B2:H2"/>
  </mergeCells>
  <printOptions horizontalCentered="1" gridLines="1"/>
  <pageMargins left="0.25" right="0.25" top="0.75" bottom="0.75" header="0.3" footer="0.3"/>
  <pageSetup paperSize="9" scale="72" orientation="portrait" cellComments="atEnd" horizontalDpi="4294967293" verticalDpi="300" r:id="rId1"/>
  <headerFooter alignWithMargins="0">
    <oddHeader xml:space="preserve">&amp;R   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390BE-3810-4BF9-9329-2D71892A88E3}">
  <sheetPr codeName="Tabelle119"/>
  <dimension ref="A1:N46"/>
  <sheetViews>
    <sheetView zoomScale="40" zoomScaleNormal="40" workbookViewId="0">
      <selection activeCell="N8" sqref="N8"/>
    </sheetView>
  </sheetViews>
  <sheetFormatPr baseColWidth="10" defaultRowHeight="12.75"/>
  <cols>
    <col min="1" max="1" width="10.42578125" customWidth="1"/>
    <col min="2" max="2" width="20.7109375" customWidth="1"/>
    <col min="3" max="3" width="10.7109375" customWidth="1"/>
    <col min="4" max="5" width="11.5703125" style="2" customWidth="1"/>
    <col min="14" max="14" width="14.28515625" customWidth="1"/>
  </cols>
  <sheetData>
    <row r="1" spans="1:14" ht="36.6" customHeight="1">
      <c r="A1" s="750" t="s">
        <v>472</v>
      </c>
      <c r="B1" s="750"/>
      <c r="C1" s="750"/>
      <c r="D1" s="11"/>
      <c r="E1" s="11"/>
      <c r="N1" s="16" t="s">
        <v>521</v>
      </c>
    </row>
    <row r="2" spans="1:14" ht="41.65" customHeight="1">
      <c r="A2" s="750" t="s">
        <v>101</v>
      </c>
      <c r="B2" s="750"/>
      <c r="C2" s="750"/>
      <c r="D2" s="11"/>
    </row>
    <row r="3" spans="1:14" ht="24" customHeight="1">
      <c r="A3" s="751"/>
      <c r="B3" s="752"/>
      <c r="C3" s="752"/>
    </row>
    <row r="4" spans="1:14" ht="24" customHeight="1">
      <c r="A4" s="19"/>
      <c r="B4" s="20"/>
      <c r="C4" s="20"/>
      <c r="N4" s="16" t="s">
        <v>521</v>
      </c>
    </row>
    <row r="5" spans="1:14" ht="20.100000000000001" customHeight="1">
      <c r="A5" s="21"/>
      <c r="C5" s="36"/>
    </row>
    <row r="6" spans="1:14" ht="18" customHeight="1">
      <c r="A6" s="25"/>
      <c r="C6" s="46"/>
      <c r="D6" s="23"/>
      <c r="E6" s="24"/>
      <c r="N6" s="16" t="s">
        <v>522</v>
      </c>
    </row>
    <row r="7" spans="1:14" ht="18" customHeight="1">
      <c r="A7" s="26"/>
      <c r="B7" s="20"/>
      <c r="C7" s="58"/>
      <c r="D7" s="23"/>
      <c r="E7" s="24"/>
    </row>
    <row r="8" spans="1:14" ht="15" customHeight="1">
      <c r="A8" s="27"/>
      <c r="B8" s="28"/>
      <c r="C8" s="29"/>
      <c r="D8" s="23"/>
      <c r="E8" s="24"/>
    </row>
    <row r="9" spans="1:14" ht="20.100000000000001" customHeight="1">
      <c r="A9" s="55"/>
      <c r="C9" s="753"/>
    </row>
    <row r="10" spans="1:14" ht="24.75" customHeight="1">
      <c r="A10" s="55"/>
      <c r="C10" s="754"/>
      <c r="D10" s="30"/>
      <c r="E10" s="31"/>
    </row>
    <row r="11" spans="1:14" ht="30" customHeight="1">
      <c r="A11" s="55"/>
      <c r="C11" s="754"/>
      <c r="D11" s="30"/>
      <c r="E11" s="31"/>
    </row>
    <row r="12" spans="1:14" ht="39.75" customHeight="1">
      <c r="A12" s="29"/>
      <c r="B12" s="29"/>
      <c r="C12" s="29"/>
      <c r="D12" s="30"/>
      <c r="E12" s="31"/>
    </row>
    <row r="13" spans="1:14" ht="20.100000000000001" customHeight="1">
      <c r="A13" s="56"/>
      <c r="C13" s="25"/>
      <c r="D13" s="30"/>
      <c r="E13" s="31"/>
    </row>
    <row r="14" spans="1:14" ht="20.100000000000001" customHeight="1">
      <c r="A14" s="54"/>
      <c r="C14" s="25"/>
      <c r="D14" s="30"/>
      <c r="E14" s="31"/>
    </row>
    <row r="15" spans="1:14" ht="20.100000000000001" customHeight="1">
      <c r="A15" s="57"/>
      <c r="C15" s="25"/>
      <c r="D15" s="30"/>
      <c r="E15" s="31"/>
    </row>
    <row r="16" spans="1:14" ht="20.100000000000001" customHeight="1">
      <c r="A16" s="56"/>
      <c r="C16" s="32"/>
      <c r="D16" s="30"/>
      <c r="E16" s="31"/>
    </row>
    <row r="17" spans="1:6" ht="50.1" customHeight="1">
      <c r="A17" s="56"/>
      <c r="C17" s="32"/>
      <c r="D17" s="30"/>
      <c r="E17" s="31"/>
    </row>
    <row r="18" spans="1:6" ht="20.100000000000001" customHeight="1">
      <c r="A18" s="22"/>
      <c r="B18" s="34"/>
      <c r="C18" s="34"/>
      <c r="D18" s="33"/>
      <c r="E18" s="34"/>
      <c r="F18" s="34"/>
    </row>
    <row r="19" spans="1:6" s="34" customFormat="1" ht="20.100000000000001" customHeight="1">
      <c r="A19" s="32"/>
      <c r="B19"/>
      <c r="C19"/>
      <c r="D19" s="30"/>
      <c r="E19" s="31"/>
      <c r="F19"/>
    </row>
    <row r="20" spans="1:6" ht="20.100000000000001" customHeight="1">
      <c r="A20" s="32"/>
      <c r="B20" s="22"/>
      <c r="C20" s="22"/>
      <c r="D20" s="30"/>
      <c r="E20" s="31"/>
    </row>
    <row r="21" spans="1:6" ht="20.100000000000001" customHeight="1">
      <c r="A21" s="32"/>
      <c r="B21" s="22"/>
      <c r="C21" s="22"/>
      <c r="D21" s="30"/>
      <c r="E21" s="31"/>
    </row>
    <row r="22" spans="1:6" ht="50.1" customHeight="1">
      <c r="D22" s="30"/>
      <c r="E22" s="31"/>
    </row>
    <row r="23" spans="1:6" ht="15" customHeight="1">
      <c r="A23" s="36"/>
      <c r="B23" s="494"/>
      <c r="C23" s="495"/>
      <c r="D23" s="30"/>
      <c r="E23" s="31"/>
    </row>
    <row r="24" spans="1:6" ht="15" customHeight="1">
      <c r="A24" s="35"/>
      <c r="C24" s="496"/>
      <c r="D24" s="31"/>
      <c r="E24" s="31"/>
    </row>
    <row r="25" spans="1:6" ht="60" customHeight="1">
      <c r="A25" s="40"/>
      <c r="B25" s="41"/>
      <c r="C25" s="11"/>
      <c r="D25" s="39"/>
      <c r="E25" s="31"/>
    </row>
    <row r="26" spans="1:6" ht="12" customHeight="1">
      <c r="A26" s="40"/>
      <c r="B26" s="41"/>
      <c r="C26" s="11"/>
      <c r="D26" s="42"/>
      <c r="E26" s="42"/>
    </row>
    <row r="27" spans="1:6" ht="12" customHeight="1">
      <c r="A27" s="40"/>
      <c r="B27" s="41"/>
      <c r="C27" s="11"/>
      <c r="D27" s="39"/>
      <c r="E27" s="31"/>
    </row>
    <row r="28" spans="1:6" ht="12" customHeight="1">
      <c r="A28" s="40"/>
      <c r="B28" s="41"/>
      <c r="C28" s="11"/>
      <c r="D28" s="39"/>
      <c r="E28" s="31"/>
    </row>
    <row r="29" spans="1:6" ht="12" customHeight="1">
      <c r="A29" s="497"/>
      <c r="B29" s="498"/>
      <c r="C29" s="498"/>
    </row>
    <row r="30" spans="1:6" ht="20.100000000000001" customHeight="1">
      <c r="A30" s="497"/>
      <c r="B30" s="498"/>
      <c r="C30" s="498"/>
    </row>
    <row r="31" spans="1:6" ht="12" customHeight="1">
      <c r="A31" s="14"/>
      <c r="B31" s="43"/>
      <c r="C31" s="43"/>
      <c r="E31"/>
    </row>
    <row r="32" spans="1:6">
      <c r="A32" s="14"/>
      <c r="B32" s="43"/>
      <c r="C32" s="43"/>
    </row>
    <row r="33" spans="1:5">
      <c r="A33" s="16"/>
      <c r="B33" s="43"/>
      <c r="C33" s="43"/>
    </row>
    <row r="34" spans="1:5">
      <c r="A34" s="16"/>
      <c r="B34" s="43"/>
      <c r="C34" s="43"/>
    </row>
    <row r="35" spans="1:5">
      <c r="A35" s="16"/>
      <c r="B35" s="43"/>
      <c r="C35" s="43"/>
    </row>
    <row r="36" spans="1:5">
      <c r="A36" s="40"/>
      <c r="B36" s="43"/>
      <c r="C36" s="43"/>
      <c r="D36" s="41"/>
      <c r="E36" s="41"/>
    </row>
    <row r="37" spans="1:5" ht="15.75">
      <c r="A37" s="35"/>
      <c r="B37" s="51"/>
      <c r="C37" s="51"/>
      <c r="D37" s="41"/>
      <c r="E37" s="41"/>
    </row>
    <row r="38" spans="1:5" ht="15" customHeight="1">
      <c r="A38" s="35"/>
      <c r="B38" s="52"/>
      <c r="C38" s="53"/>
      <c r="D38" s="41"/>
      <c r="E38" s="41"/>
    </row>
    <row r="39" spans="1:5" ht="15" customHeight="1">
      <c r="A39" s="35"/>
      <c r="B39" s="52"/>
      <c r="C39" s="53"/>
      <c r="D39" s="41"/>
      <c r="E39" s="41"/>
    </row>
    <row r="40" spans="1:5" ht="15" customHeight="1">
      <c r="A40" s="35"/>
      <c r="B40" s="52"/>
      <c r="C40" s="53"/>
      <c r="D40" s="41"/>
      <c r="E40" s="41"/>
    </row>
    <row r="41" spans="1:5" ht="15" customHeight="1">
      <c r="A41" s="40"/>
      <c r="B41" s="40"/>
      <c r="C41" s="44"/>
      <c r="D41" s="41"/>
      <c r="E41" s="41"/>
    </row>
    <row r="42" spans="1:5" ht="12" customHeight="1">
      <c r="A42" s="27"/>
    </row>
    <row r="43" spans="1:5" ht="20.100000000000001" customHeight="1">
      <c r="A43" s="45"/>
    </row>
    <row r="44" spans="1:5" ht="30" customHeight="1">
      <c r="A44" s="45"/>
    </row>
    <row r="45" spans="1:5" ht="24.75" customHeight="1">
      <c r="A45" s="45"/>
    </row>
    <row r="46" spans="1:5" ht="35.1" customHeight="1"/>
  </sheetData>
  <mergeCells count="4">
    <mergeCell ref="A1:C1"/>
    <mergeCell ref="A2:C2"/>
    <mergeCell ref="A3:C3"/>
    <mergeCell ref="C9:C11"/>
  </mergeCells>
  <pageMargins left="0.98425196850393704" right="0.19685039370078741" top="0.59055118110236227" bottom="0.59055118110236227" header="0.51181102362204722" footer="0.39370078740157483"/>
  <pageSetup paperSize="9" scale="75" fitToHeight="2" orientation="portrait" horizontalDpi="300" verticalDpi="300" r:id="rId1"/>
  <headerFooter alignWithMargins="0">
    <oddFooter xml:space="preserve">&amp;R&amp;5&amp;F     &amp;A   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14F01-BFBD-4306-A97D-521A55B6AEDD}">
  <sheetPr codeName="Tabelle117"/>
  <dimension ref="A1:F47"/>
  <sheetViews>
    <sheetView topLeftCell="A7" zoomScale="85" zoomScaleNormal="85" zoomScaleSheetLayoutView="115" workbookViewId="0">
      <selection activeCell="A43" sqref="A43"/>
    </sheetView>
  </sheetViews>
  <sheetFormatPr baseColWidth="10" defaultRowHeight="12.75"/>
  <cols>
    <col min="1" max="1" width="18.42578125" customWidth="1"/>
    <col min="2" max="2" width="35.42578125" customWidth="1"/>
    <col min="3" max="3" width="35.7109375" customWidth="1"/>
    <col min="4" max="5" width="11.5703125" style="2" customWidth="1"/>
  </cols>
  <sheetData>
    <row r="1" spans="1:6" ht="20.25">
      <c r="A1" s="757" t="s">
        <v>559</v>
      </c>
      <c r="B1" s="758"/>
      <c r="C1" s="758"/>
      <c r="D1" s="2">
        <v>14</v>
      </c>
      <c r="E1" s="2">
        <v>1</v>
      </c>
      <c r="F1" t="s">
        <v>11</v>
      </c>
    </row>
    <row r="2" spans="1:6" ht="20.25">
      <c r="A2" s="757" t="s">
        <v>560</v>
      </c>
      <c r="B2" s="758"/>
      <c r="C2" s="758"/>
      <c r="D2" s="11">
        <v>10</v>
      </c>
      <c r="E2" s="11">
        <v>1</v>
      </c>
      <c r="F2" t="s">
        <v>49</v>
      </c>
    </row>
    <row r="3" spans="1:6" ht="15">
      <c r="A3" s="759" t="s">
        <v>559</v>
      </c>
      <c r="B3" s="760"/>
      <c r="C3" s="760"/>
      <c r="D3" s="11">
        <v>15</v>
      </c>
      <c r="E3" s="2">
        <v>1</v>
      </c>
      <c r="F3" t="s">
        <v>50</v>
      </c>
    </row>
    <row r="4" spans="1:6" ht="15" customHeight="1">
      <c r="A4" s="761" t="s">
        <v>559</v>
      </c>
      <c r="B4" s="762"/>
      <c r="C4" s="762"/>
      <c r="D4" s="2">
        <v>16</v>
      </c>
      <c r="E4" s="2">
        <v>1</v>
      </c>
      <c r="F4" t="s">
        <v>51</v>
      </c>
    </row>
    <row r="5" spans="1:6" ht="15" customHeight="1">
      <c r="A5" s="19"/>
      <c r="B5" s="20"/>
      <c r="C5" s="20"/>
      <c r="D5" s="2">
        <v>17</v>
      </c>
      <c r="E5" s="2">
        <v>1</v>
      </c>
      <c r="F5" t="s">
        <v>52</v>
      </c>
    </row>
    <row r="6" spans="1:6" ht="20.100000000000001" customHeight="1">
      <c r="A6" s="21" t="s">
        <v>62</v>
      </c>
      <c r="C6" s="36" t="s">
        <v>63</v>
      </c>
      <c r="D6" s="2">
        <v>24</v>
      </c>
      <c r="E6" s="2">
        <v>2</v>
      </c>
      <c r="F6" t="s">
        <v>16</v>
      </c>
    </row>
    <row r="7" spans="1:6" ht="18" customHeight="1">
      <c r="A7" s="25" t="s">
        <v>64</v>
      </c>
      <c r="C7" s="46" t="s">
        <v>65</v>
      </c>
      <c r="D7" s="23">
        <v>38</v>
      </c>
      <c r="E7" s="24">
        <v>1</v>
      </c>
      <c r="F7" t="s">
        <v>53</v>
      </c>
    </row>
    <row r="8" spans="1:6" ht="18" customHeight="1">
      <c r="A8" s="26"/>
      <c r="B8" s="20"/>
      <c r="C8" s="58" t="s">
        <v>66</v>
      </c>
      <c r="D8" s="23">
        <v>42</v>
      </c>
      <c r="E8" s="24">
        <v>3</v>
      </c>
      <c r="F8" t="s">
        <v>30</v>
      </c>
    </row>
    <row r="9" spans="1:6" ht="15" customHeight="1">
      <c r="A9" s="27" t="s">
        <v>561</v>
      </c>
      <c r="B9" s="28"/>
      <c r="C9" s="507">
        <v>2025</v>
      </c>
      <c r="D9" s="23">
        <v>42</v>
      </c>
      <c r="E9" s="24">
        <v>3</v>
      </c>
      <c r="F9" t="s">
        <v>54</v>
      </c>
    </row>
    <row r="10" spans="1:6" ht="20.100000000000001" customHeight="1">
      <c r="A10" s="55" t="s">
        <v>49</v>
      </c>
      <c r="C10" s="753" t="s">
        <v>67</v>
      </c>
    </row>
    <row r="11" spans="1:6" ht="24.75" customHeight="1">
      <c r="A11" s="55" t="s">
        <v>55</v>
      </c>
      <c r="C11" s="754"/>
      <c r="D11" s="30"/>
      <c r="E11" s="31"/>
    </row>
    <row r="12" spans="1:6" ht="30" customHeight="1">
      <c r="A12" s="55" t="s">
        <v>56</v>
      </c>
      <c r="C12" s="754"/>
      <c r="D12" s="30"/>
      <c r="E12" s="31"/>
    </row>
    <row r="13" spans="1:6" ht="15.6" customHeight="1">
      <c r="A13" s="29"/>
      <c r="B13" s="29"/>
      <c r="C13" s="29"/>
      <c r="D13" s="30"/>
      <c r="E13" s="31"/>
    </row>
    <row r="14" spans="1:6" ht="20.100000000000001" customHeight="1">
      <c r="A14" s="56" t="s">
        <v>562</v>
      </c>
      <c r="C14" s="25" t="s">
        <v>68</v>
      </c>
      <c r="D14" s="30"/>
      <c r="E14" s="31"/>
    </row>
    <row r="15" spans="1:6" ht="20.100000000000001" customHeight="1">
      <c r="A15" s="54"/>
      <c r="C15" s="25" t="s">
        <v>69</v>
      </c>
      <c r="D15" s="30"/>
      <c r="E15" s="31"/>
    </row>
    <row r="16" spans="1:6" ht="20.100000000000001" customHeight="1">
      <c r="A16" s="57"/>
      <c r="C16" s="25" t="s">
        <v>70</v>
      </c>
      <c r="D16" s="30"/>
      <c r="E16" s="31"/>
    </row>
    <row r="17" spans="1:6" ht="20.100000000000001" customHeight="1">
      <c r="A17" s="56"/>
      <c r="C17" s="32" t="s">
        <v>71</v>
      </c>
      <c r="D17" s="30"/>
      <c r="E17" s="31"/>
    </row>
    <row r="18" spans="1:6" ht="32.450000000000003" customHeight="1">
      <c r="A18" s="56"/>
      <c r="C18" s="32"/>
      <c r="D18" s="30"/>
      <c r="E18" s="31"/>
    </row>
    <row r="19" spans="1:6" ht="20.100000000000001" customHeight="1">
      <c r="A19" s="22" t="s">
        <v>563</v>
      </c>
      <c r="B19" s="34"/>
      <c r="C19" s="34"/>
      <c r="D19" s="33"/>
      <c r="E19" s="34"/>
      <c r="F19" s="34"/>
    </row>
    <row r="20" spans="1:6" s="34" customFormat="1" ht="20.100000000000001" customHeight="1">
      <c r="A20" s="32" t="s">
        <v>563</v>
      </c>
      <c r="B20"/>
      <c r="C20"/>
      <c r="D20" s="30"/>
      <c r="E20" s="31"/>
      <c r="F20"/>
    </row>
    <row r="21" spans="1:6" ht="20.100000000000001" customHeight="1">
      <c r="A21" s="32" t="s">
        <v>563</v>
      </c>
      <c r="B21" s="22"/>
      <c r="C21" s="22"/>
      <c r="D21" s="30"/>
      <c r="E21" s="31"/>
    </row>
    <row r="22" spans="1:6" ht="20.100000000000001" customHeight="1">
      <c r="A22" s="32" t="s">
        <v>563</v>
      </c>
      <c r="B22" s="22"/>
      <c r="C22" s="22"/>
      <c r="D22" s="30"/>
      <c r="E22" s="31"/>
    </row>
    <row r="23" spans="1:6" ht="50.1" customHeight="1">
      <c r="D23" s="30"/>
      <c r="E23" s="31"/>
    </row>
    <row r="24" spans="1:6" ht="15" customHeight="1">
      <c r="A24" s="36" t="s">
        <v>57</v>
      </c>
      <c r="B24" s="59"/>
      <c r="C24" s="37"/>
      <c r="D24" s="30"/>
      <c r="E24" s="31"/>
    </row>
    <row r="25" spans="1:6" ht="15" customHeight="1">
      <c r="A25" s="35"/>
      <c r="C25" s="38" t="s">
        <v>30</v>
      </c>
      <c r="D25" s="31"/>
      <c r="E25" s="31"/>
    </row>
    <row r="26" spans="1:6" ht="37.15" customHeight="1">
      <c r="A26" s="40" t="s">
        <v>58</v>
      </c>
      <c r="B26" s="41"/>
      <c r="C26" s="11"/>
      <c r="D26" s="39"/>
      <c r="E26" s="31"/>
    </row>
    <row r="27" spans="1:6" ht="12" customHeight="1">
      <c r="A27" s="40" t="s">
        <v>59</v>
      </c>
      <c r="B27" s="41"/>
      <c r="C27" s="11"/>
      <c r="D27" s="42"/>
      <c r="E27" s="42"/>
    </row>
    <row r="28" spans="1:6" ht="12" customHeight="1">
      <c r="A28" s="40" t="s">
        <v>61</v>
      </c>
      <c r="B28" s="41"/>
      <c r="C28" s="11"/>
      <c r="D28" s="39"/>
      <c r="E28" s="31"/>
    </row>
    <row r="29" spans="1:6" ht="12" customHeight="1">
      <c r="A29" s="40" t="s">
        <v>60</v>
      </c>
      <c r="B29" s="41"/>
      <c r="C29" s="11"/>
      <c r="D29" s="39"/>
      <c r="E29" s="31"/>
    </row>
    <row r="30" spans="1:6" ht="12" customHeight="1">
      <c r="A30" s="47"/>
      <c r="B30" s="48"/>
      <c r="C30" s="48"/>
    </row>
    <row r="31" spans="1:6" ht="20.100000000000001" customHeight="1">
      <c r="A31" s="49"/>
      <c r="B31" s="50"/>
      <c r="C31" s="50"/>
    </row>
    <row r="32" spans="1:6" ht="12" customHeight="1">
      <c r="A32" s="763" t="s">
        <v>564</v>
      </c>
      <c r="B32" s="43"/>
      <c r="C32" s="43"/>
      <c r="E32"/>
    </row>
    <row r="33" spans="1:5">
      <c r="A33" s="763" t="s">
        <v>564</v>
      </c>
      <c r="B33" s="43"/>
      <c r="C33" s="43"/>
    </row>
    <row r="34" spans="1:5">
      <c r="A34" s="763" t="s">
        <v>564</v>
      </c>
      <c r="B34" s="43"/>
      <c r="C34" s="43"/>
    </row>
    <row r="35" spans="1:5">
      <c r="A35" s="763" t="s">
        <v>565</v>
      </c>
      <c r="B35" s="43"/>
      <c r="C35" s="43"/>
    </row>
    <row r="36" spans="1:5">
      <c r="A36" s="763" t="s">
        <v>564</v>
      </c>
      <c r="B36" s="43"/>
      <c r="C36" s="43"/>
    </row>
    <row r="37" spans="1:5">
      <c r="A37" s="40"/>
      <c r="B37" s="43"/>
      <c r="C37" s="43"/>
      <c r="D37" s="41"/>
      <c r="E37" s="41"/>
    </row>
    <row r="38" spans="1:5" ht="15.75">
      <c r="A38" s="764" t="s">
        <v>564</v>
      </c>
      <c r="B38" s="51"/>
      <c r="C38" s="51"/>
      <c r="D38" s="41"/>
      <c r="E38" s="41"/>
    </row>
    <row r="39" spans="1:5" ht="15" customHeight="1">
      <c r="A39" s="764" t="s">
        <v>564</v>
      </c>
      <c r="B39" s="52"/>
      <c r="C39" s="53"/>
      <c r="D39" s="41"/>
      <c r="E39" s="41"/>
    </row>
    <row r="40" spans="1:5" ht="15" customHeight="1">
      <c r="A40" s="764" t="s">
        <v>564</v>
      </c>
      <c r="B40" s="52"/>
      <c r="C40" s="53"/>
      <c r="D40" s="41"/>
      <c r="E40" s="41"/>
    </row>
    <row r="41" spans="1:5" ht="15" customHeight="1">
      <c r="A41" s="764" t="s">
        <v>564</v>
      </c>
      <c r="B41" s="52"/>
      <c r="C41" s="53"/>
      <c r="D41" s="41"/>
      <c r="E41" s="41"/>
    </row>
    <row r="42" spans="1:5" ht="15" customHeight="1">
      <c r="A42" s="40"/>
      <c r="B42" s="40"/>
      <c r="C42" s="44" t="s">
        <v>30</v>
      </c>
      <c r="D42" s="41"/>
      <c r="E42" s="41"/>
    </row>
    <row r="43" spans="1:5" ht="12" customHeight="1">
      <c r="A43" s="27"/>
    </row>
    <row r="44" spans="1:5" ht="20.100000000000001" customHeight="1">
      <c r="A44" s="45"/>
    </row>
    <row r="45" spans="1:5" ht="30" customHeight="1">
      <c r="A45" s="45"/>
    </row>
    <row r="46" spans="1:5" ht="24.75" customHeight="1">
      <c r="A46" s="45"/>
    </row>
    <row r="47" spans="1:5" ht="35.1" customHeight="1"/>
  </sheetData>
  <mergeCells count="5">
    <mergeCell ref="C10:C12"/>
    <mergeCell ref="A1:C1"/>
    <mergeCell ref="A2:C2"/>
    <mergeCell ref="A3:C3"/>
    <mergeCell ref="A4:C4"/>
  </mergeCells>
  <phoneticPr fontId="0" type="noConversion"/>
  <pageMargins left="0.98425196850393704" right="0.19685039370078741" top="0.59055118110236227" bottom="0.59055118110236227" header="0.51181102362204722" footer="0.39370078740157483"/>
  <pageSetup paperSize="9" scale="90" fitToHeight="2" orientation="portrait" horizontalDpi="300" verticalDpi="300" r:id="rId1"/>
  <headerFooter alignWithMargins="0">
    <oddFooter xml:space="preserve">&amp;R&amp;5&amp;F     &amp;A   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E767E-A62B-4282-AC32-501D260993C8}">
  <sheetPr codeName="Tabelle118"/>
  <dimension ref="A1:F46"/>
  <sheetViews>
    <sheetView zoomScale="112" zoomScaleNormal="112" workbookViewId="0">
      <selection activeCell="E1" sqref="E1"/>
    </sheetView>
  </sheetViews>
  <sheetFormatPr baseColWidth="10" defaultRowHeight="12.75"/>
  <cols>
    <col min="1" max="1" width="10.42578125" customWidth="1"/>
    <col min="2" max="2" width="20.7109375" customWidth="1"/>
    <col min="3" max="3" width="10.7109375" customWidth="1"/>
    <col min="4" max="5" width="11.5703125" style="2" customWidth="1"/>
  </cols>
  <sheetData>
    <row r="1" spans="1:5" ht="36.6" customHeight="1">
      <c r="A1" s="750" t="s">
        <v>472</v>
      </c>
      <c r="B1" s="750"/>
      <c r="C1" s="750"/>
      <c r="D1" s="11"/>
      <c r="E1" s="11"/>
    </row>
    <row r="2" spans="1:5" ht="41.65" customHeight="1">
      <c r="A2" s="750" t="s">
        <v>473</v>
      </c>
      <c r="B2" s="750"/>
      <c r="C2" s="750"/>
      <c r="D2" s="11"/>
    </row>
    <row r="3" spans="1:5" ht="24" customHeight="1">
      <c r="A3" s="751"/>
      <c r="B3" s="752"/>
      <c r="C3" s="752"/>
    </row>
    <row r="4" spans="1:5" ht="24" customHeight="1">
      <c r="A4" s="19"/>
      <c r="B4" s="20"/>
      <c r="C4" s="20"/>
    </row>
    <row r="5" spans="1:5" ht="20.100000000000001" customHeight="1">
      <c r="A5" s="21"/>
      <c r="C5" s="36"/>
    </row>
    <row r="6" spans="1:5" ht="18" customHeight="1">
      <c r="A6" s="25"/>
      <c r="C6" s="46"/>
      <c r="D6" s="23"/>
      <c r="E6" s="24"/>
    </row>
    <row r="7" spans="1:5" ht="18" customHeight="1">
      <c r="A7" s="26"/>
      <c r="B7" s="20"/>
      <c r="C7" s="58"/>
      <c r="D7" s="23"/>
      <c r="E7" s="24"/>
    </row>
    <row r="8" spans="1:5" ht="15" customHeight="1">
      <c r="A8" s="27"/>
      <c r="B8" s="28"/>
      <c r="C8" s="29"/>
      <c r="D8" s="23"/>
      <c r="E8" s="24"/>
    </row>
    <row r="9" spans="1:5" ht="20.100000000000001" customHeight="1">
      <c r="A9" s="55"/>
      <c r="C9" s="753"/>
    </row>
    <row r="10" spans="1:5" ht="24.75" customHeight="1">
      <c r="A10" s="55"/>
      <c r="C10" s="754"/>
      <c r="D10" s="30"/>
      <c r="E10" s="31"/>
    </row>
    <row r="11" spans="1:5" ht="30" customHeight="1">
      <c r="A11" s="55"/>
      <c r="C11" s="754"/>
      <c r="D11" s="30"/>
      <c r="E11" s="31"/>
    </row>
    <row r="12" spans="1:5" ht="39.75" customHeight="1">
      <c r="A12" s="29"/>
      <c r="B12" s="29"/>
      <c r="C12" s="29"/>
      <c r="D12" s="30"/>
      <c r="E12" s="31"/>
    </row>
    <row r="13" spans="1:5" ht="20.100000000000001" customHeight="1">
      <c r="A13" s="56"/>
      <c r="C13" s="25"/>
      <c r="D13" s="30"/>
      <c r="E13" s="31"/>
    </row>
    <row r="14" spans="1:5" ht="20.100000000000001" customHeight="1">
      <c r="A14" s="54"/>
      <c r="C14" s="25"/>
      <c r="D14" s="30"/>
      <c r="E14" s="31"/>
    </row>
    <row r="15" spans="1:5" ht="20.100000000000001" customHeight="1">
      <c r="A15" s="57"/>
      <c r="C15" s="25"/>
      <c r="D15" s="30"/>
      <c r="E15" s="31"/>
    </row>
    <row r="16" spans="1:5" ht="20.100000000000001" customHeight="1">
      <c r="A16" s="56"/>
      <c r="C16" s="32"/>
      <c r="D16" s="30"/>
      <c r="E16" s="31"/>
    </row>
    <row r="17" spans="1:6" ht="50.1" customHeight="1">
      <c r="A17" s="56"/>
      <c r="C17" s="32"/>
      <c r="D17" s="30"/>
      <c r="E17" s="31"/>
    </row>
    <row r="18" spans="1:6" ht="20.100000000000001" customHeight="1">
      <c r="A18" s="22"/>
      <c r="B18" s="34"/>
      <c r="C18" s="34"/>
      <c r="D18" s="33"/>
      <c r="E18" s="34"/>
      <c r="F18" s="34"/>
    </row>
    <row r="19" spans="1:6" s="34" customFormat="1" ht="20.100000000000001" customHeight="1">
      <c r="A19" s="32"/>
      <c r="B19"/>
      <c r="C19"/>
      <c r="D19" s="30"/>
      <c r="E19" s="31"/>
      <c r="F19"/>
    </row>
    <row r="20" spans="1:6" ht="20.100000000000001" customHeight="1">
      <c r="A20" s="32"/>
      <c r="B20" s="22"/>
      <c r="C20" s="22"/>
      <c r="D20" s="30"/>
      <c r="E20" s="31"/>
    </row>
    <row r="21" spans="1:6" ht="20.100000000000001" customHeight="1">
      <c r="A21" s="32"/>
      <c r="B21" s="22"/>
      <c r="C21" s="22"/>
      <c r="D21" s="30"/>
      <c r="E21" s="31"/>
    </row>
    <row r="22" spans="1:6" ht="50.1" customHeight="1">
      <c r="D22" s="30"/>
      <c r="E22" s="31"/>
    </row>
    <row r="23" spans="1:6" ht="15" customHeight="1">
      <c r="A23" s="36"/>
      <c r="B23" s="494"/>
      <c r="C23" s="495"/>
      <c r="D23" s="30"/>
      <c r="E23" s="31"/>
    </row>
    <row r="24" spans="1:6" ht="15" customHeight="1">
      <c r="A24" s="35"/>
      <c r="C24" s="496"/>
      <c r="D24" s="31"/>
      <c r="E24" s="31"/>
    </row>
    <row r="25" spans="1:6" ht="60" customHeight="1">
      <c r="A25" s="40"/>
      <c r="B25" s="41"/>
      <c r="C25" s="11"/>
      <c r="D25" s="39"/>
      <c r="E25" s="31"/>
    </row>
    <row r="26" spans="1:6" ht="12" customHeight="1">
      <c r="A26" s="40"/>
      <c r="B26" s="41"/>
      <c r="C26" s="11"/>
      <c r="D26" s="42"/>
      <c r="E26" s="42"/>
    </row>
    <row r="27" spans="1:6" ht="12" customHeight="1">
      <c r="A27" s="40"/>
      <c r="B27" s="41"/>
      <c r="C27" s="11"/>
      <c r="D27" s="39"/>
      <c r="E27" s="31"/>
    </row>
    <row r="28" spans="1:6" ht="12" customHeight="1">
      <c r="A28" s="40"/>
      <c r="B28" s="41"/>
      <c r="C28" s="11"/>
      <c r="D28" s="39"/>
      <c r="E28" s="31"/>
    </row>
    <row r="29" spans="1:6" ht="12" customHeight="1">
      <c r="A29" s="497"/>
      <c r="B29" s="498"/>
      <c r="C29" s="498"/>
    </row>
    <row r="30" spans="1:6" ht="20.100000000000001" customHeight="1">
      <c r="A30" s="497"/>
      <c r="B30" s="498"/>
      <c r="C30" s="498"/>
    </row>
    <row r="31" spans="1:6" ht="12" customHeight="1">
      <c r="A31" s="14"/>
      <c r="B31" s="43"/>
      <c r="C31" s="43"/>
      <c r="E31"/>
    </row>
    <row r="32" spans="1:6">
      <c r="A32" s="14"/>
      <c r="B32" s="43"/>
      <c r="C32" s="43"/>
    </row>
    <row r="33" spans="1:5">
      <c r="A33" s="16"/>
      <c r="B33" s="43"/>
      <c r="C33" s="43"/>
    </row>
    <row r="34" spans="1:5">
      <c r="A34" s="16"/>
      <c r="B34" s="43"/>
      <c r="C34" s="43"/>
    </row>
    <row r="35" spans="1:5">
      <c r="A35" s="16"/>
      <c r="B35" s="43"/>
      <c r="C35" s="43"/>
    </row>
    <row r="36" spans="1:5">
      <c r="A36" s="40"/>
      <c r="B36" s="43"/>
      <c r="C36" s="43"/>
      <c r="D36" s="41"/>
      <c r="E36" s="41"/>
    </row>
    <row r="37" spans="1:5" ht="15.75">
      <c r="A37" s="35"/>
      <c r="B37" s="51"/>
      <c r="C37" s="51"/>
      <c r="D37" s="41"/>
      <c r="E37" s="41"/>
    </row>
    <row r="38" spans="1:5" ht="15" customHeight="1">
      <c r="A38" s="35"/>
      <c r="B38" s="52"/>
      <c r="C38" s="53"/>
      <c r="D38" s="41"/>
      <c r="E38" s="41"/>
    </row>
    <row r="39" spans="1:5" ht="15" customHeight="1">
      <c r="A39" s="35"/>
      <c r="B39" s="52"/>
      <c r="C39" s="53"/>
      <c r="D39" s="41"/>
      <c r="E39" s="41"/>
    </row>
    <row r="40" spans="1:5" ht="15" customHeight="1">
      <c r="A40" s="35"/>
      <c r="B40" s="52"/>
      <c r="C40" s="53"/>
      <c r="D40" s="41"/>
      <c r="E40" s="41"/>
    </row>
    <row r="41" spans="1:5" ht="15" customHeight="1">
      <c r="A41" s="40"/>
      <c r="B41" s="40"/>
      <c r="C41" s="44"/>
      <c r="D41" s="41"/>
      <c r="E41" s="41"/>
    </row>
    <row r="42" spans="1:5" ht="12" customHeight="1">
      <c r="A42" s="27"/>
    </row>
    <row r="43" spans="1:5" ht="20.100000000000001" customHeight="1">
      <c r="A43" s="45"/>
    </row>
    <row r="44" spans="1:5" ht="30" customHeight="1">
      <c r="A44" s="45"/>
    </row>
    <row r="45" spans="1:5" ht="24.75" customHeight="1">
      <c r="A45" s="45"/>
    </row>
    <row r="46" spans="1:5" ht="35.1" customHeight="1"/>
  </sheetData>
  <mergeCells count="4">
    <mergeCell ref="A1:C1"/>
    <mergeCell ref="A2:C2"/>
    <mergeCell ref="A3:C3"/>
    <mergeCell ref="C9:C11"/>
  </mergeCells>
  <pageMargins left="0.98425196850393704" right="0.19685039370078741" top="0.59055118110236227" bottom="0.59055118110236227" header="0.51181102362204722" footer="0.39370078740157483"/>
  <pageSetup paperSize="9" scale="75" fitToHeight="2" orientation="portrait" horizontalDpi="300" verticalDpi="300" r:id="rId1"/>
  <headerFooter alignWithMargins="0">
    <oddFooter xml:space="preserve">&amp;R&amp;5&amp;F     &amp;A   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EF753-5F10-47C6-9EF0-B697A8A7EE4E}">
  <sheetPr codeName="Tabelle14"/>
  <dimension ref="A1:G35"/>
  <sheetViews>
    <sheetView workbookViewId="0">
      <selection activeCell="D8" sqref="D8"/>
    </sheetView>
  </sheetViews>
  <sheetFormatPr baseColWidth="10" defaultRowHeight="12.75"/>
  <cols>
    <col min="1" max="1" width="4.5703125" customWidth="1"/>
    <col min="2" max="2" width="11.7109375" customWidth="1"/>
    <col min="3" max="6" width="12.5703125" customWidth="1"/>
    <col min="7" max="7" width="8" customWidth="1"/>
  </cols>
  <sheetData>
    <row r="1" spans="1:7" ht="18">
      <c r="A1" s="67"/>
      <c r="B1" s="68"/>
      <c r="C1" s="69" t="s">
        <v>435</v>
      </c>
      <c r="D1" s="70"/>
      <c r="E1" s="71"/>
      <c r="F1" s="431"/>
      <c r="G1" s="432"/>
    </row>
    <row r="2" spans="1:7" ht="22.35" customHeight="1" thickBot="1">
      <c r="A2" s="433"/>
      <c r="B2" s="437" t="s">
        <v>436</v>
      </c>
      <c r="C2" s="438" t="s">
        <v>414</v>
      </c>
      <c r="D2" s="434"/>
      <c r="E2" s="435"/>
      <c r="F2" s="436"/>
      <c r="G2" s="436"/>
    </row>
    <row r="3" spans="1:7">
      <c r="A3" s="27"/>
      <c r="B3" s="439"/>
      <c r="C3" s="65"/>
      <c r="D3" s="66"/>
      <c r="E3" s="66"/>
      <c r="F3" s="66"/>
      <c r="G3" s="27"/>
    </row>
    <row r="4" spans="1:7">
      <c r="A4" s="27"/>
      <c r="B4" s="440" t="s">
        <v>87</v>
      </c>
      <c r="C4" s="466" t="s">
        <v>449</v>
      </c>
      <c r="D4" s="468"/>
      <c r="E4" s="66"/>
      <c r="F4" s="66"/>
      <c r="G4" s="27"/>
    </row>
    <row r="5" spans="1:7">
      <c r="A5" s="27"/>
      <c r="B5" s="439"/>
      <c r="C5" s="65"/>
      <c r="D5" s="66"/>
      <c r="E5" s="66"/>
      <c r="F5" s="66"/>
      <c r="G5" s="27"/>
    </row>
    <row r="6" spans="1:7">
      <c r="A6" s="27"/>
      <c r="B6" s="440" t="s">
        <v>88</v>
      </c>
      <c r="C6" s="466" t="s">
        <v>450</v>
      </c>
      <c r="D6" s="475"/>
      <c r="E6" s="66"/>
      <c r="F6" s="66"/>
      <c r="G6" s="27"/>
    </row>
    <row r="7" spans="1:7">
      <c r="B7" s="439"/>
      <c r="C7" s="428"/>
      <c r="D7" s="429"/>
      <c r="E7" s="429"/>
      <c r="F7" s="429"/>
    </row>
    <row r="8" spans="1:7" ht="15">
      <c r="B8" s="440" t="s">
        <v>437</v>
      </c>
      <c r="C8" s="16" t="s">
        <v>451</v>
      </c>
      <c r="D8" s="469"/>
      <c r="E8" s="430"/>
      <c r="F8" s="430"/>
    </row>
    <row r="9" spans="1:7">
      <c r="B9" s="439"/>
    </row>
    <row r="10" spans="1:7">
      <c r="B10" s="440" t="s">
        <v>438</v>
      </c>
      <c r="C10" s="16" t="s">
        <v>452</v>
      </c>
      <c r="D10" s="470"/>
    </row>
    <row r="11" spans="1:7" ht="13.5">
      <c r="B11" s="441"/>
      <c r="G11" s="61"/>
    </row>
    <row r="12" spans="1:7">
      <c r="B12" s="441">
        <v>5</v>
      </c>
      <c r="C12" s="16" t="s">
        <v>453</v>
      </c>
      <c r="D12" s="471"/>
      <c r="G12" s="60"/>
    </row>
    <row r="13" spans="1:7">
      <c r="B13" s="441"/>
      <c r="G13" s="60"/>
    </row>
    <row r="14" spans="1:7">
      <c r="B14" s="441">
        <v>6</v>
      </c>
      <c r="C14" s="16" t="s">
        <v>454</v>
      </c>
      <c r="D14" s="472"/>
      <c r="G14" s="60"/>
    </row>
    <row r="15" spans="1:7">
      <c r="B15" s="441"/>
      <c r="G15" s="60"/>
    </row>
    <row r="16" spans="1:7">
      <c r="B16" s="441">
        <v>7</v>
      </c>
      <c r="C16" s="16" t="s">
        <v>455</v>
      </c>
      <c r="D16" s="473"/>
      <c r="G16" s="60"/>
    </row>
    <row r="17" spans="2:7">
      <c r="B17" s="441"/>
      <c r="G17" s="60"/>
    </row>
    <row r="18" spans="2:7">
      <c r="B18" s="441">
        <v>8</v>
      </c>
      <c r="C18" s="16" t="s">
        <v>456</v>
      </c>
      <c r="D18" s="474"/>
      <c r="G18" s="60"/>
    </row>
    <row r="19" spans="2:7">
      <c r="B19" s="441"/>
    </row>
    <row r="20" spans="2:7">
      <c r="B20" s="441"/>
    </row>
    <row r="21" spans="2:7">
      <c r="B21" s="441"/>
    </row>
    <row r="22" spans="2:7">
      <c r="B22" s="441"/>
    </row>
    <row r="23" spans="2:7">
      <c r="B23" s="441"/>
    </row>
    <row r="24" spans="2:7">
      <c r="B24" s="441"/>
    </row>
    <row r="25" spans="2:7">
      <c r="B25" s="441"/>
    </row>
    <row r="35" ht="15" customHeight="1"/>
  </sheetData>
  <pageMargins left="0.71" right="0.19685039370078741" top="0.78740157480314965" bottom="0.78740157480314965" header="0.51181102362204722" footer="0.51181102362204722"/>
  <pageSetup paperSize="9" orientation="portrait" horizontalDpi="300" verticalDpi="300" r:id="rId1"/>
  <headerFooter alignWithMargins="0">
    <oddHeader>&amp;L&amp;"Arial,Fett"&amp;12L&amp;R&amp;"Arial,Fett"&amp;12R</oddHeader>
    <oddFooter>&amp;L&amp;8&amp;F.&amp;A&amp;C&amp;8Seite &amp;P&amp;R&amp;8&amp;D  &amp;T Uhr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5B1FF-98A1-4150-B2F0-221E068E5055}">
  <sheetPr codeName="Tabelle141"/>
  <dimension ref="A1:E159"/>
  <sheetViews>
    <sheetView zoomScaleNormal="100" workbookViewId="0">
      <selection activeCell="A113" sqref="A113"/>
    </sheetView>
  </sheetViews>
  <sheetFormatPr baseColWidth="10" defaultRowHeight="12.75"/>
  <cols>
    <col min="1" max="1" width="92.28515625" customWidth="1"/>
    <col min="2" max="2" width="9.28515625" customWidth="1"/>
    <col min="3" max="3" width="9.7109375" customWidth="1"/>
    <col min="4" max="4" width="64.42578125" customWidth="1"/>
    <col min="5" max="5" width="20.5703125" customWidth="1"/>
    <col min="6" max="8" width="12.5703125" customWidth="1"/>
  </cols>
  <sheetData>
    <row r="1" spans="1:5" ht="24.6" customHeight="1">
      <c r="A1" s="125" t="s">
        <v>540</v>
      </c>
    </row>
    <row r="2" spans="1:5" ht="19.350000000000001" customHeight="1">
      <c r="A2" s="15" t="s">
        <v>137</v>
      </c>
    </row>
    <row r="3" spans="1:5" ht="14.25">
      <c r="A3" s="13" t="s">
        <v>541</v>
      </c>
    </row>
    <row r="4" spans="1:5" ht="14.25">
      <c r="A4" s="13" t="s">
        <v>210</v>
      </c>
    </row>
    <row r="5" spans="1:5" ht="13.35" customHeight="1">
      <c r="A5" s="13" t="s">
        <v>211</v>
      </c>
    </row>
    <row r="6" spans="1:5" ht="15">
      <c r="A6" s="15" t="s">
        <v>212</v>
      </c>
    </row>
    <row r="7" spans="1:5" ht="14.25">
      <c r="A7" s="13" t="s">
        <v>542</v>
      </c>
    </row>
    <row r="8" spans="1:5" ht="15">
      <c r="A8" s="13" t="s">
        <v>321</v>
      </c>
    </row>
    <row r="9" spans="1:5" ht="15">
      <c r="A9" s="13" t="s">
        <v>337</v>
      </c>
    </row>
    <row r="10" spans="1:5" ht="14.25">
      <c r="A10" s="13" t="s">
        <v>338</v>
      </c>
    </row>
    <row r="11" spans="1:5" ht="14.25">
      <c r="A11" s="13"/>
    </row>
    <row r="12" spans="1:5" ht="14.65" customHeight="1">
      <c r="A12" s="15" t="s">
        <v>205</v>
      </c>
    </row>
    <row r="13" spans="1:5" ht="14.25">
      <c r="A13" s="13" t="s">
        <v>543</v>
      </c>
    </row>
    <row r="14" spans="1:5" ht="14.65" customHeight="1">
      <c r="A14" s="13" t="s">
        <v>204</v>
      </c>
    </row>
    <row r="15" spans="1:5" ht="14.25" customHeight="1">
      <c r="A15" s="13" t="s">
        <v>128</v>
      </c>
      <c r="B15" s="126"/>
      <c r="C15" s="126"/>
      <c r="D15" s="126"/>
      <c r="E15" s="126"/>
    </row>
    <row r="16" spans="1:5" ht="14.25">
      <c r="A16" s="13" t="s">
        <v>525</v>
      </c>
    </row>
    <row r="17" spans="1:5" ht="14.25">
      <c r="A17" s="13" t="s">
        <v>526</v>
      </c>
    </row>
    <row r="18" spans="1:5" ht="14.25">
      <c r="A18" s="13" t="s">
        <v>527</v>
      </c>
      <c r="B18" s="126"/>
      <c r="C18" s="126"/>
      <c r="D18" s="126"/>
      <c r="E18" s="126"/>
    </row>
    <row r="19" spans="1:5" ht="14.25">
      <c r="A19" s="13"/>
      <c r="B19" s="126"/>
      <c r="C19" s="126"/>
      <c r="D19" s="126"/>
      <c r="E19" s="126"/>
    </row>
    <row r="20" spans="1:5" ht="16.350000000000001" customHeight="1">
      <c r="A20" s="15" t="s">
        <v>206</v>
      </c>
      <c r="B20" s="126"/>
      <c r="C20" s="126"/>
      <c r="D20" s="126"/>
      <c r="E20" s="126"/>
    </row>
    <row r="21" spans="1:5" ht="14.25">
      <c r="A21" s="13" t="s">
        <v>544</v>
      </c>
    </row>
    <row r="22" spans="1:5" ht="14.25">
      <c r="A22" s="13" t="s">
        <v>545</v>
      </c>
    </row>
    <row r="23" spans="1:5" ht="15">
      <c r="A23" s="13" t="s">
        <v>232</v>
      </c>
      <c r="B23" s="126"/>
      <c r="C23" s="126"/>
      <c r="D23" s="126"/>
    </row>
    <row r="24" spans="1:5" ht="14.25" customHeight="1">
      <c r="A24" s="13" t="s">
        <v>207</v>
      </c>
    </row>
    <row r="25" spans="1:5" ht="14.25">
      <c r="A25" s="13" t="s">
        <v>235</v>
      </c>
    </row>
    <row r="26" spans="1:5" ht="14.25">
      <c r="A26" s="13" t="s">
        <v>264</v>
      </c>
    </row>
    <row r="27" spans="1:5" ht="14.25">
      <c r="A27" s="13" t="s">
        <v>295</v>
      </c>
    </row>
    <row r="28" spans="1:5" ht="14.25">
      <c r="A28" s="13" t="s">
        <v>265</v>
      </c>
    </row>
    <row r="29" spans="1:5" ht="14.25">
      <c r="A29" s="13"/>
    </row>
    <row r="30" spans="1:5" ht="15">
      <c r="A30" s="15" t="s">
        <v>208</v>
      </c>
    </row>
    <row r="31" spans="1:5" ht="15">
      <c r="A31" s="13" t="s">
        <v>209</v>
      </c>
    </row>
    <row r="32" spans="1:5" ht="14.25">
      <c r="A32" s="13" t="s">
        <v>129</v>
      </c>
    </row>
    <row r="33" spans="1:1" ht="15">
      <c r="A33" s="13" t="s">
        <v>213</v>
      </c>
    </row>
    <row r="34" spans="1:1" ht="14.25">
      <c r="A34" s="13" t="s">
        <v>234</v>
      </c>
    </row>
    <row r="35" spans="1:1" ht="14.25">
      <c r="A35" s="13" t="s">
        <v>530</v>
      </c>
    </row>
    <row r="36" spans="1:1" ht="14.25">
      <c r="A36" s="13" t="s">
        <v>130</v>
      </c>
    </row>
    <row r="37" spans="1:1" ht="14.25">
      <c r="A37" s="13" t="s">
        <v>131</v>
      </c>
    </row>
    <row r="38" spans="1:1" ht="14.25">
      <c r="A38" s="13" t="s">
        <v>132</v>
      </c>
    </row>
    <row r="39" spans="1:1" ht="14.25">
      <c r="A39" s="13" t="s">
        <v>133</v>
      </c>
    </row>
    <row r="40" spans="1:1" ht="14.25">
      <c r="A40" s="13"/>
    </row>
    <row r="41" spans="1:1" ht="15">
      <c r="A41" s="15" t="s">
        <v>39</v>
      </c>
    </row>
    <row r="42" spans="1:1" ht="14.25">
      <c r="A42" s="13" t="s">
        <v>135</v>
      </c>
    </row>
    <row r="43" spans="1:1" ht="14.25">
      <c r="A43" s="13" t="s">
        <v>274</v>
      </c>
    </row>
    <row r="44" spans="1:1" ht="14.25">
      <c r="A44" s="13" t="s">
        <v>531</v>
      </c>
    </row>
    <row r="45" spans="1:1" ht="14.25">
      <c r="A45" s="13" t="s">
        <v>307</v>
      </c>
    </row>
    <row r="46" spans="1:1" ht="14.25">
      <c r="A46" s="13" t="s">
        <v>275</v>
      </c>
    </row>
    <row r="47" spans="1:1" ht="14.25">
      <c r="A47" s="13" t="s">
        <v>276</v>
      </c>
    </row>
    <row r="48" spans="1:1" ht="14.25">
      <c r="A48" s="13" t="s">
        <v>532</v>
      </c>
    </row>
    <row r="49" spans="1:2" ht="14.25">
      <c r="A49" s="13" t="s">
        <v>136</v>
      </c>
    </row>
    <row r="50" spans="1:2" ht="14.25">
      <c r="A50" s="13" t="s">
        <v>272</v>
      </c>
    </row>
    <row r="51" spans="1:2" ht="14.25">
      <c r="A51" s="13" t="s">
        <v>506</v>
      </c>
    </row>
    <row r="52" spans="1:2" ht="14.25">
      <c r="A52" s="247" t="s">
        <v>507</v>
      </c>
    </row>
    <row r="53" spans="1:2" ht="14.25">
      <c r="A53" s="247" t="s">
        <v>40</v>
      </c>
    </row>
    <row r="54" spans="1:2" ht="14.25">
      <c r="A54" s="13"/>
    </row>
    <row r="55" spans="1:2" ht="15">
      <c r="A55" s="15" t="s">
        <v>38</v>
      </c>
    </row>
    <row r="56" spans="1:2" ht="14.25">
      <c r="A56" s="247" t="s">
        <v>533</v>
      </c>
    </row>
    <row r="57" spans="1:2" ht="16.350000000000001" customHeight="1">
      <c r="A57" s="247" t="s">
        <v>297</v>
      </c>
      <c r="B57" s="124"/>
    </row>
    <row r="58" spans="1:2" ht="16.350000000000001" customHeight="1">
      <c r="A58" s="13" t="s">
        <v>508</v>
      </c>
      <c r="B58" s="124"/>
    </row>
    <row r="59" spans="1:2" ht="14.25">
      <c r="A59" s="13" t="s">
        <v>305</v>
      </c>
    </row>
    <row r="60" spans="1:2" ht="14.25">
      <c r="A60" s="13" t="s">
        <v>534</v>
      </c>
    </row>
    <row r="61" spans="1:2" ht="14.25">
      <c r="A61" s="13" t="s">
        <v>298</v>
      </c>
    </row>
    <row r="62" spans="1:2" ht="14.25">
      <c r="A62" s="13" t="s">
        <v>535</v>
      </c>
    </row>
    <row r="63" spans="1:2" ht="14.25">
      <c r="A63" s="13" t="s">
        <v>299</v>
      </c>
    </row>
    <row r="64" spans="1:2" ht="14.25">
      <c r="A64" s="13" t="s">
        <v>536</v>
      </c>
    </row>
    <row r="65" spans="1:4" ht="14.25">
      <c r="A65" s="13" t="s">
        <v>303</v>
      </c>
    </row>
    <row r="66" spans="1:4" ht="14.25">
      <c r="A66" s="13" t="s">
        <v>304</v>
      </c>
    </row>
    <row r="67" spans="1:4" ht="12.6" customHeight="1">
      <c r="A67" s="13" t="s">
        <v>301</v>
      </c>
      <c r="B67" s="13"/>
      <c r="C67" s="13"/>
      <c r="D67" s="13"/>
    </row>
    <row r="68" spans="1:4" ht="12.6" customHeight="1">
      <c r="A68" s="13" t="s">
        <v>302</v>
      </c>
      <c r="B68" s="13"/>
      <c r="C68" s="13"/>
      <c r="D68" s="13"/>
    </row>
    <row r="69" spans="1:4" ht="14.25">
      <c r="A69" s="13" t="s">
        <v>537</v>
      </c>
    </row>
    <row r="70" spans="1:4" ht="14.25">
      <c r="A70" s="13" t="s">
        <v>296</v>
      </c>
    </row>
    <row r="71" spans="1:4" ht="14.25">
      <c r="A71" s="13" t="s">
        <v>300</v>
      </c>
    </row>
    <row r="72" spans="1:4" ht="14.25">
      <c r="A72" s="13" t="s">
        <v>134</v>
      </c>
    </row>
    <row r="73" spans="1:4" ht="15">
      <c r="A73" s="13" t="s">
        <v>273</v>
      </c>
    </row>
    <row r="74" spans="1:4" ht="14.25">
      <c r="A74" s="13" t="s">
        <v>294</v>
      </c>
    </row>
    <row r="75" spans="1:4" ht="15">
      <c r="A75" s="15" t="s">
        <v>277</v>
      </c>
    </row>
    <row r="76" spans="1:4" ht="15">
      <c r="A76" s="247" t="s">
        <v>278</v>
      </c>
    </row>
    <row r="77" spans="1:4" ht="14.25">
      <c r="A77" s="247" t="s">
        <v>279</v>
      </c>
    </row>
    <row r="78" spans="1:4" ht="15">
      <c r="A78" s="247" t="s">
        <v>280</v>
      </c>
    </row>
    <row r="79" spans="1:4" ht="14.25">
      <c r="A79" s="13" t="s">
        <v>47</v>
      </c>
    </row>
    <row r="80" spans="1:4" ht="14.25">
      <c r="A80" s="13" t="s">
        <v>48</v>
      </c>
    </row>
    <row r="81" spans="1:1" ht="14.25">
      <c r="A81" s="247" t="s">
        <v>237</v>
      </c>
    </row>
    <row r="82" spans="1:1" ht="14.25">
      <c r="A82" s="13"/>
    </row>
    <row r="83" spans="1:1" s="16" customFormat="1" ht="15">
      <c r="A83" s="15" t="s">
        <v>101</v>
      </c>
    </row>
    <row r="84" spans="1:1" s="16" customFormat="1" ht="14.25">
      <c r="A84" s="13" t="s">
        <v>308</v>
      </c>
    </row>
    <row r="85" spans="1:1" s="16" customFormat="1" ht="14.25">
      <c r="A85" s="13" t="s">
        <v>309</v>
      </c>
    </row>
    <row r="86" spans="1:1" s="16" customFormat="1" ht="15">
      <c r="A86" s="15" t="s">
        <v>310</v>
      </c>
    </row>
    <row r="87" spans="1:1" s="16" customFormat="1" ht="14.25">
      <c r="A87" s="13" t="s">
        <v>311</v>
      </c>
    </row>
    <row r="88" spans="1:1" s="16" customFormat="1" ht="14.25">
      <c r="A88" s="13" t="s">
        <v>312</v>
      </c>
    </row>
    <row r="89" spans="1:1" s="16" customFormat="1" ht="15">
      <c r="A89" s="15" t="s">
        <v>31</v>
      </c>
    </row>
    <row r="90" spans="1:1" s="16" customFormat="1" ht="14.25">
      <c r="A90" s="13" t="s">
        <v>313</v>
      </c>
    </row>
    <row r="91" spans="1:1" s="16" customFormat="1" ht="14.25">
      <c r="A91" s="13" t="s">
        <v>316</v>
      </c>
    </row>
    <row r="92" spans="1:1" s="16" customFormat="1" ht="15">
      <c r="A92" s="15" t="s">
        <v>339</v>
      </c>
    </row>
    <row r="93" spans="1:1" s="16" customFormat="1" ht="14.25">
      <c r="A93" s="13" t="s">
        <v>314</v>
      </c>
    </row>
    <row r="94" spans="1:1" s="16" customFormat="1" ht="14.25">
      <c r="A94" s="13" t="s">
        <v>315</v>
      </c>
    </row>
    <row r="95" spans="1:1" s="16" customFormat="1" ht="15">
      <c r="A95" s="15" t="s">
        <v>317</v>
      </c>
    </row>
    <row r="96" spans="1:1" s="16" customFormat="1" ht="14.25">
      <c r="A96" s="13" t="s">
        <v>319</v>
      </c>
    </row>
    <row r="97" spans="1:1" s="16" customFormat="1" ht="14.25">
      <c r="A97" s="13" t="s">
        <v>318</v>
      </c>
    </row>
    <row r="98" spans="1:1" ht="12.75" customHeight="1">
      <c r="A98" s="17"/>
    </row>
    <row r="99" spans="1:1" ht="12.75" customHeight="1">
      <c r="A99" s="15" t="s">
        <v>41</v>
      </c>
    </row>
    <row r="100" spans="1:1" ht="12.75" customHeight="1">
      <c r="A100" s="247" t="s">
        <v>42</v>
      </c>
    </row>
    <row r="101" spans="1:1" ht="15.6" customHeight="1">
      <c r="A101" s="247" t="s">
        <v>505</v>
      </c>
    </row>
    <row r="102" spans="1:1" ht="14.65" customHeight="1">
      <c r="A102" s="247" t="s">
        <v>538</v>
      </c>
    </row>
    <row r="103" spans="1:1" ht="15" customHeight="1">
      <c r="A103" s="247" t="s">
        <v>43</v>
      </c>
    </row>
    <row r="104" spans="1:1" ht="16.899999999999999" customHeight="1">
      <c r="A104" s="249" t="s">
        <v>270</v>
      </c>
    </row>
    <row r="105" spans="1:1" ht="11.65" customHeight="1">
      <c r="A105" s="13" t="s">
        <v>306</v>
      </c>
    </row>
    <row r="106" spans="1:1" ht="12.75" customHeight="1">
      <c r="A106" s="13" t="s">
        <v>271</v>
      </c>
    </row>
    <row r="107" spans="1:1" ht="12.75" customHeight="1">
      <c r="A107" s="13" t="s">
        <v>236</v>
      </c>
    </row>
    <row r="108" spans="1:1" ht="12.75" customHeight="1">
      <c r="A108" s="13"/>
    </row>
    <row r="109" spans="1:1" ht="12.75" customHeight="1">
      <c r="A109" s="247" t="s">
        <v>539</v>
      </c>
    </row>
    <row r="110" spans="1:1" ht="12.75" customHeight="1">
      <c r="A110" s="257" t="s">
        <v>320</v>
      </c>
    </row>
    <row r="111" spans="1:1" ht="12.75" customHeight="1"/>
    <row r="112" spans="1:1" ht="14.25" customHeight="1"/>
    <row r="114" spans="1:1" ht="12.75" customHeight="1"/>
    <row r="115" spans="1:1" ht="12.75" customHeight="1"/>
    <row r="116" spans="1:1" ht="12.75" customHeight="1"/>
    <row r="117" spans="1:1" ht="13.5" customHeight="1"/>
    <row r="119" spans="1:1" ht="12.75" customHeight="1"/>
    <row r="120" spans="1:1" ht="12.75" customHeight="1"/>
    <row r="121" spans="1:1" ht="12.75" customHeight="1"/>
    <row r="122" spans="1:1" ht="12.75" customHeight="1">
      <c r="A122" s="1"/>
    </row>
    <row r="123" spans="1:1" ht="12.75" customHeight="1">
      <c r="A123" s="1"/>
    </row>
    <row r="124" spans="1:1" ht="12.75" customHeight="1">
      <c r="A124" s="1"/>
    </row>
    <row r="125" spans="1:1" ht="12.75" customHeight="1"/>
    <row r="127" spans="1:1" ht="12.75" customHeight="1"/>
    <row r="128" spans="1:1" ht="12.75" customHeight="1"/>
    <row r="129" ht="12.75" customHeight="1"/>
    <row r="130" ht="12.75" customHeight="1"/>
    <row r="131" ht="12.75" customHeight="1"/>
    <row r="132" ht="12" customHeight="1"/>
    <row r="134" ht="12.75" customHeight="1"/>
    <row r="135" ht="12.7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5.75" customHeight="1"/>
    <row r="155" ht="12.75" customHeight="1"/>
    <row r="156" ht="12.75" customHeight="1"/>
    <row r="157" ht="12.75" customHeight="1"/>
    <row r="158" ht="12.75" customHeight="1"/>
    <row r="159" ht="15" customHeight="1"/>
  </sheetData>
  <phoneticPr fontId="0" type="noConversion"/>
  <printOptions horizontalCentered="1"/>
  <pageMargins left="0.78740157480314965" right="0.19685039370078741" top="0.78740157480314965" bottom="0.59055118110236227" header="0.31496062992125984" footer="0.51181102362204722"/>
  <pageSetup paperSize="9" orientation="portrait" horizontalDpi="300" verticalDpi="300" r:id="rId1"/>
  <headerFooter alignWithMargins="0">
    <oddHeader>&amp;L&amp;12ErEx Kurzbeschreibung&amp;R&amp;"Arial,Fett"&amp;12Version 3.1</oddHeader>
    <oddFooter>&amp;L&amp;8&amp;F.&amp;A&amp;C&amp;8Seite &amp;P&amp;  von &amp;N&amp;R&amp;8&amp;D  &amp;T Uhr</oddFooter>
  </headerFooter>
  <rowBreaks count="1" manualBreakCount="1">
    <brk id="47" man="1"/>
  </rowBreaks>
  <colBreaks count="1" manualBreakCount="1">
    <brk id="1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4006-8730-47B7-932E-42CF69585ACE}">
  <sheetPr codeName="Tabelle147"/>
  <dimension ref="A1:F122"/>
  <sheetViews>
    <sheetView topLeftCell="A25" zoomScale="98" zoomScaleNormal="98" workbookViewId="0">
      <selection activeCell="B48" sqref="B48"/>
    </sheetView>
  </sheetViews>
  <sheetFormatPr baseColWidth="10" defaultRowHeight="12.75"/>
  <cols>
    <col min="1" max="2" width="9.28515625" customWidth="1"/>
    <col min="3" max="3" width="9.7109375" customWidth="1"/>
    <col min="4" max="4" width="67.28515625" customWidth="1"/>
    <col min="5" max="5" width="20.5703125" customWidth="1"/>
    <col min="6" max="8" width="12.5703125" customWidth="1"/>
  </cols>
  <sheetData>
    <row r="1" spans="1:4" ht="24.6" customHeight="1">
      <c r="A1" s="1"/>
      <c r="C1" s="246" t="s">
        <v>467</v>
      </c>
    </row>
    <row r="3" spans="1:4" ht="15">
      <c r="A3" s="72"/>
      <c r="D3" s="12" t="s">
        <v>546</v>
      </c>
    </row>
    <row r="4" spans="1:4" ht="15">
      <c r="A4" s="72"/>
      <c r="D4" s="12" t="s">
        <v>109</v>
      </c>
    </row>
    <row r="5" spans="1:4" ht="13.35" customHeight="1">
      <c r="A5" s="72"/>
    </row>
    <row r="6" spans="1:4" ht="15">
      <c r="A6" s="62"/>
      <c r="B6" s="15" t="s">
        <v>110</v>
      </c>
      <c r="C6" s="15"/>
    </row>
    <row r="7" spans="1:4" ht="14.25">
      <c r="A7" s="62"/>
      <c r="B7" s="13" t="s">
        <v>111</v>
      </c>
      <c r="C7" s="13"/>
    </row>
    <row r="8" spans="1:4" ht="14.25">
      <c r="A8" s="62"/>
      <c r="B8" s="13" t="s">
        <v>238</v>
      </c>
    </row>
    <row r="9" spans="1:4" ht="14.25">
      <c r="A9" s="62"/>
      <c r="B9" s="13" t="s">
        <v>547</v>
      </c>
      <c r="C9" s="13"/>
    </row>
    <row r="10" spans="1:4" ht="15">
      <c r="A10" s="62"/>
      <c r="B10" s="13" t="s">
        <v>113</v>
      </c>
      <c r="C10" s="13"/>
    </row>
    <row r="11" spans="1:4" ht="14.65" customHeight="1">
      <c r="A11" s="62"/>
      <c r="B11" s="13" t="s">
        <v>112</v>
      </c>
      <c r="C11" s="13"/>
    </row>
    <row r="12" spans="1:4" ht="14.25" customHeight="1">
      <c r="A12" s="62"/>
      <c r="B12" s="13" t="s">
        <v>114</v>
      </c>
      <c r="C12" s="13"/>
    </row>
    <row r="13" spans="1:4" ht="14.25">
      <c r="A13" s="62"/>
      <c r="B13" s="13" t="s">
        <v>233</v>
      </c>
      <c r="C13" s="13"/>
    </row>
    <row r="14" spans="1:4">
      <c r="A14" s="1"/>
    </row>
    <row r="15" spans="1:4">
      <c r="A15" s="1"/>
    </row>
    <row r="16" spans="1:4">
      <c r="A16" s="76" t="s">
        <v>162</v>
      </c>
      <c r="B16" s="77"/>
      <c r="C16" s="77"/>
      <c r="D16" s="78"/>
    </row>
    <row r="17" spans="1:5">
      <c r="A17" s="78" t="s">
        <v>163</v>
      </c>
      <c r="B17" s="77" t="s">
        <v>164</v>
      </c>
      <c r="C17" s="77"/>
      <c r="D17" s="78"/>
    </row>
    <row r="18" spans="1:5">
      <c r="A18" s="78"/>
      <c r="B18" s="77" t="s">
        <v>84</v>
      </c>
      <c r="C18" s="77"/>
      <c r="D18" s="78"/>
    </row>
    <row r="19" spans="1:5" ht="14.25" customHeight="1" thickBot="1">
      <c r="A19" s="76" t="s">
        <v>165</v>
      </c>
      <c r="B19" s="76"/>
      <c r="C19" s="79"/>
      <c r="D19" s="78"/>
    </row>
    <row r="20" spans="1:5">
      <c r="A20" s="80" t="s">
        <v>166</v>
      </c>
      <c r="B20" s="81" t="s">
        <v>167</v>
      </c>
      <c r="C20" s="82" t="s">
        <v>168</v>
      </c>
      <c r="D20" s="83"/>
    </row>
    <row r="21" spans="1:5">
      <c r="A21" s="84" t="s">
        <v>169</v>
      </c>
      <c r="B21" s="85" t="s">
        <v>170</v>
      </c>
      <c r="C21" s="86"/>
      <c r="D21" s="87" t="s">
        <v>171</v>
      </c>
    </row>
    <row r="22" spans="1:5">
      <c r="A22" s="252" t="s">
        <v>285</v>
      </c>
      <c r="B22" s="88" t="s">
        <v>138</v>
      </c>
      <c r="C22" s="89" t="s">
        <v>139</v>
      </c>
      <c r="D22" s="90" t="s">
        <v>115</v>
      </c>
    </row>
    <row r="23" spans="1:5">
      <c r="A23" s="91"/>
      <c r="B23" s="92"/>
      <c r="C23" s="93"/>
      <c r="D23" s="94" t="s">
        <v>140</v>
      </c>
    </row>
    <row r="24" spans="1:5">
      <c r="A24" s="91"/>
      <c r="B24" s="92"/>
      <c r="C24" s="93"/>
      <c r="D24" s="94" t="s">
        <v>172</v>
      </c>
      <c r="E24" s="126"/>
    </row>
    <row r="25" spans="1:5">
      <c r="A25" s="91"/>
      <c r="B25" s="95"/>
      <c r="C25" s="96"/>
      <c r="D25" s="97" t="s">
        <v>141</v>
      </c>
    </row>
    <row r="26" spans="1:5" ht="13.9" customHeight="1">
      <c r="A26" s="91"/>
      <c r="B26" s="98" t="s">
        <v>142</v>
      </c>
      <c r="C26" s="99" t="s">
        <v>101</v>
      </c>
      <c r="D26" s="100" t="s">
        <v>468</v>
      </c>
      <c r="E26" s="126"/>
    </row>
    <row r="27" spans="1:5" ht="14.25" customHeight="1">
      <c r="A27" s="91"/>
      <c r="B27" s="98"/>
      <c r="C27" s="101" t="s">
        <v>173</v>
      </c>
      <c r="D27" s="94" t="s">
        <v>469</v>
      </c>
      <c r="E27" s="126"/>
    </row>
    <row r="28" spans="1:5">
      <c r="A28" s="91"/>
      <c r="B28" s="102"/>
      <c r="C28" s="103"/>
      <c r="D28" s="104" t="s">
        <v>470</v>
      </c>
    </row>
    <row r="29" spans="1:5">
      <c r="A29" s="91"/>
      <c r="B29" s="88" t="s">
        <v>143</v>
      </c>
      <c r="C29" s="99" t="s">
        <v>144</v>
      </c>
      <c r="D29" s="105" t="s">
        <v>266</v>
      </c>
    </row>
    <row r="30" spans="1:5" ht="12.6" customHeight="1">
      <c r="A30" s="91"/>
      <c r="B30" s="98"/>
      <c r="C30" s="106"/>
      <c r="D30" s="105" t="s">
        <v>267</v>
      </c>
    </row>
    <row r="31" spans="1:5" ht="12.6" customHeight="1">
      <c r="A31" s="91"/>
      <c r="B31" s="98"/>
      <c r="C31" s="106"/>
      <c r="D31" s="105" t="s">
        <v>268</v>
      </c>
    </row>
    <row r="32" spans="1:5">
      <c r="A32" s="91"/>
      <c r="B32" s="109" t="s">
        <v>145</v>
      </c>
      <c r="C32" s="99" t="s">
        <v>174</v>
      </c>
      <c r="D32" s="90" t="s">
        <v>146</v>
      </c>
    </row>
    <row r="33" spans="1:4">
      <c r="A33" s="91"/>
      <c r="B33" s="98" t="s">
        <v>147</v>
      </c>
      <c r="C33" s="101" t="s">
        <v>175</v>
      </c>
      <c r="D33" s="110" t="s">
        <v>176</v>
      </c>
    </row>
    <row r="34" spans="1:4">
      <c r="A34" s="91"/>
      <c r="B34" s="98" t="s">
        <v>148</v>
      </c>
      <c r="C34" s="101" t="s">
        <v>177</v>
      </c>
      <c r="D34" s="94" t="s">
        <v>85</v>
      </c>
    </row>
    <row r="35" spans="1:4">
      <c r="A35" s="91"/>
      <c r="B35" s="111"/>
      <c r="C35" s="108"/>
      <c r="D35" s="94" t="s">
        <v>86</v>
      </c>
    </row>
    <row r="36" spans="1:4">
      <c r="A36" s="253" t="s">
        <v>286</v>
      </c>
      <c r="B36" s="113" t="s">
        <v>149</v>
      </c>
      <c r="C36" s="114" t="s">
        <v>150</v>
      </c>
      <c r="D36" s="90" t="s">
        <v>178</v>
      </c>
    </row>
    <row r="37" spans="1:4">
      <c r="A37" s="253" t="s">
        <v>287</v>
      </c>
      <c r="B37" s="88" t="s">
        <v>151</v>
      </c>
      <c r="C37" s="99" t="s">
        <v>152</v>
      </c>
      <c r="D37" s="90" t="s">
        <v>153</v>
      </c>
    </row>
    <row r="38" spans="1:4">
      <c r="A38" s="115"/>
      <c r="B38" s="107"/>
      <c r="C38" s="108"/>
      <c r="D38" s="97" t="s">
        <v>154</v>
      </c>
    </row>
    <row r="39" spans="1:4">
      <c r="A39" s="253" t="s">
        <v>288</v>
      </c>
      <c r="B39" s="88" t="s">
        <v>143</v>
      </c>
      <c r="C39" s="99" t="s">
        <v>180</v>
      </c>
      <c r="D39" s="110" t="s">
        <v>155</v>
      </c>
    </row>
    <row r="40" spans="1:4" ht="12.6" customHeight="1">
      <c r="A40" s="91"/>
      <c r="B40" s="107"/>
      <c r="C40" s="86" t="s">
        <v>181</v>
      </c>
      <c r="D40" s="110" t="s">
        <v>156</v>
      </c>
    </row>
    <row r="41" spans="1:4">
      <c r="A41" s="253" t="s">
        <v>289</v>
      </c>
      <c r="B41" s="88" t="s">
        <v>89</v>
      </c>
      <c r="C41" s="99" t="s">
        <v>183</v>
      </c>
      <c r="D41" s="90" t="s">
        <v>157</v>
      </c>
    </row>
    <row r="42" spans="1:4">
      <c r="A42" s="116"/>
      <c r="B42" s="98"/>
      <c r="C42" s="101" t="s">
        <v>184</v>
      </c>
      <c r="D42" s="110" t="s">
        <v>106</v>
      </c>
    </row>
    <row r="43" spans="1:4">
      <c r="A43" s="116"/>
      <c r="B43" s="107"/>
      <c r="C43" s="108"/>
      <c r="D43" s="110" t="s">
        <v>107</v>
      </c>
    </row>
    <row r="44" spans="1:4">
      <c r="A44" s="253" t="s">
        <v>290</v>
      </c>
      <c r="B44" s="88" t="s">
        <v>89</v>
      </c>
      <c r="C44" s="99" t="s">
        <v>186</v>
      </c>
      <c r="D44" s="90" t="s">
        <v>269</v>
      </c>
    </row>
    <row r="45" spans="1:4">
      <c r="A45" s="116"/>
      <c r="B45" s="117" t="s">
        <v>188</v>
      </c>
      <c r="C45" s="101" t="s">
        <v>184</v>
      </c>
      <c r="D45" s="110" t="s">
        <v>189</v>
      </c>
    </row>
    <row r="46" spans="1:4" ht="13.5" thickBot="1">
      <c r="A46" s="118"/>
      <c r="B46" s="119" t="s">
        <v>190</v>
      </c>
      <c r="C46" s="86"/>
      <c r="D46" s="104" t="s">
        <v>191</v>
      </c>
    </row>
    <row r="47" spans="1:4" ht="13.5" thickBot="1">
      <c r="A47" s="120" t="s">
        <v>192</v>
      </c>
      <c r="B47" s="77"/>
      <c r="C47" s="121"/>
      <c r="D47" s="248"/>
    </row>
    <row r="48" spans="1:4" ht="13.5" thickBot="1">
      <c r="A48" s="254"/>
      <c r="B48" s="99"/>
      <c r="C48" s="99"/>
      <c r="D48" s="90"/>
    </row>
    <row r="49" spans="1:6">
      <c r="A49" s="116"/>
      <c r="B49" s="122" t="s">
        <v>158</v>
      </c>
      <c r="C49" s="101"/>
      <c r="D49" s="110"/>
    </row>
    <row r="50" spans="1:6">
      <c r="A50" s="253" t="s">
        <v>291</v>
      </c>
      <c r="B50" s="98" t="s">
        <v>160</v>
      </c>
      <c r="C50" s="99" t="s">
        <v>161</v>
      </c>
      <c r="D50" s="90" t="s">
        <v>193</v>
      </c>
    </row>
    <row r="51" spans="1:6">
      <c r="A51" s="112"/>
      <c r="B51" s="98"/>
      <c r="C51" s="101" t="s">
        <v>281</v>
      </c>
      <c r="D51" s="94" t="s">
        <v>282</v>
      </c>
    </row>
    <row r="52" spans="1:6">
      <c r="A52" s="253" t="s">
        <v>292</v>
      </c>
      <c r="B52" s="88" t="s">
        <v>159</v>
      </c>
      <c r="C52" s="99" t="s">
        <v>194</v>
      </c>
      <c r="D52" s="90" t="s">
        <v>195</v>
      </c>
    </row>
    <row r="53" spans="1:6">
      <c r="A53" s="115"/>
      <c r="B53" s="107"/>
      <c r="C53" s="86" t="s">
        <v>196</v>
      </c>
      <c r="D53" s="97" t="s">
        <v>108</v>
      </c>
    </row>
    <row r="54" spans="1:6">
      <c r="A54" s="255" t="s">
        <v>82</v>
      </c>
      <c r="B54" s="250" t="s">
        <v>284</v>
      </c>
      <c r="C54" s="101" t="s">
        <v>152</v>
      </c>
      <c r="D54" s="256" t="s">
        <v>293</v>
      </c>
    </row>
    <row r="55" spans="1:6" ht="13.5" thickBot="1">
      <c r="A55" s="123"/>
      <c r="B55" s="251" t="s">
        <v>283</v>
      </c>
      <c r="C55" s="108"/>
      <c r="D55" s="97"/>
    </row>
    <row r="56" spans="1:6" ht="12.75" customHeight="1"/>
    <row r="58" spans="1:6" ht="16.350000000000001" customHeight="1"/>
    <row r="62" spans="1:6" s="16" customFormat="1">
      <c r="A62"/>
      <c r="B62"/>
      <c r="C62"/>
      <c r="D62"/>
      <c r="E62"/>
      <c r="F62"/>
    </row>
    <row r="63" spans="1:6" s="16" customFormat="1">
      <c r="A63"/>
      <c r="B63"/>
      <c r="C63"/>
      <c r="D63"/>
      <c r="E63"/>
      <c r="F63"/>
    </row>
    <row r="64" spans="1:6" s="16" customFormat="1">
      <c r="A64"/>
      <c r="B64"/>
      <c r="C64"/>
      <c r="D64"/>
      <c r="E64"/>
      <c r="F64"/>
    </row>
    <row r="65" spans="1:6" ht="12.75" customHeight="1"/>
    <row r="66" spans="1:6" ht="12.75" customHeight="1"/>
    <row r="67" spans="1:6" ht="12.75" customHeight="1"/>
    <row r="68" spans="1:6" ht="12.75" customHeight="1"/>
    <row r="69" spans="1:6" ht="12.75" customHeight="1"/>
    <row r="70" spans="1:6" ht="13.5" customHeight="1"/>
    <row r="72" spans="1:6" ht="12.75" customHeight="1"/>
    <row r="73" spans="1:6" ht="12.75" customHeight="1"/>
    <row r="74" spans="1:6" ht="12.75" customHeight="1">
      <c r="A74" s="16"/>
      <c r="B74" s="16"/>
      <c r="C74" s="16"/>
      <c r="D74" s="16"/>
      <c r="E74" s="16"/>
      <c r="F74" s="16"/>
    </row>
    <row r="75" spans="1:6" ht="14.25" customHeight="1">
      <c r="A75" s="16"/>
      <c r="B75" s="16"/>
      <c r="C75" s="16"/>
      <c r="D75" s="16"/>
      <c r="E75" s="16"/>
      <c r="F75" s="16"/>
    </row>
    <row r="76" spans="1:6">
      <c r="A76" s="16"/>
      <c r="B76" s="16"/>
      <c r="C76" s="16"/>
      <c r="D76" s="16"/>
      <c r="E76" s="16"/>
      <c r="F76" s="16"/>
    </row>
    <row r="77" spans="1:6" ht="12.75" customHeight="1"/>
    <row r="78" spans="1:6" ht="12.75" customHeight="1"/>
    <row r="79" spans="1:6" ht="12.75" customHeight="1"/>
    <row r="80" spans="1:6" ht="13.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" customHeight="1"/>
    <row r="97" ht="12.75" customHeight="1"/>
    <row r="98" ht="12.7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5.75" customHeight="1"/>
    <row r="118" ht="12.75" customHeight="1"/>
    <row r="119" ht="12.75" customHeight="1"/>
    <row r="120" ht="12.75" customHeight="1"/>
    <row r="121" ht="12.75" customHeight="1"/>
    <row r="122" ht="15" customHeight="1"/>
  </sheetData>
  <printOptions horizontalCentered="1"/>
  <pageMargins left="0.78740157480314965" right="0.19685039370078741" top="0.78740157480314965" bottom="0.59055118110236227" header="0.31496062992125984" footer="0.51181102362204722"/>
  <pageSetup paperSize="9" orientation="portrait" horizontalDpi="300" verticalDpi="300" r:id="rId1"/>
  <headerFooter alignWithMargins="0">
    <oddHeader>&amp;L&amp;12ErEx Kurzbeschreibung&amp;R&amp;"Arial,Fett"&amp;12Version 3.1</oddHeader>
    <oddFooter>&amp;L&amp;8&amp;F.&amp;A&amp;C&amp;8Seite &amp;P&amp;  von &amp;N&amp;R&amp;8&amp;D  &amp;T Uhr</oddFooter>
  </headerFooter>
  <colBreaks count="1" manualBreakCount="1">
    <brk id="1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E86AA-AF8B-477B-B838-3EC53C7787E3}">
  <sheetPr codeName="Tabelle145">
    <pageSetUpPr fitToPage="1"/>
  </sheetPr>
  <dimension ref="A2:C71"/>
  <sheetViews>
    <sheetView zoomScaleNormal="100" workbookViewId="0">
      <selection activeCell="B60" sqref="B60"/>
    </sheetView>
  </sheetViews>
  <sheetFormatPr baseColWidth="10" defaultRowHeight="12.75"/>
  <cols>
    <col min="1" max="1" width="5.42578125" customWidth="1"/>
    <col min="2" max="2" width="88.28515625" customWidth="1"/>
    <col min="3" max="3" width="10.5703125" customWidth="1"/>
    <col min="4" max="4" width="12" customWidth="1"/>
    <col min="5" max="5" width="14.7109375" customWidth="1"/>
    <col min="6" max="6" width="50.28515625" customWidth="1"/>
    <col min="7" max="7" width="20.5703125" customWidth="1"/>
    <col min="8" max="10" width="12.5703125" customWidth="1"/>
  </cols>
  <sheetData>
    <row r="2" spans="1:3" ht="18">
      <c r="A2" s="62"/>
      <c r="B2" s="125" t="s">
        <v>260</v>
      </c>
    </row>
    <row r="3" spans="1:3" ht="15">
      <c r="B3" s="15"/>
    </row>
    <row r="4" spans="1:3" ht="15">
      <c r="A4" s="16"/>
      <c r="B4" s="15" t="s">
        <v>44</v>
      </c>
    </row>
    <row r="5" spans="1:3">
      <c r="B5" s="1" t="s">
        <v>239</v>
      </c>
    </row>
    <row r="6" spans="1:3">
      <c r="B6" s="1" t="s">
        <v>240</v>
      </c>
    </row>
    <row r="8" spans="1:3" ht="15">
      <c r="B8" s="15" t="s">
        <v>74</v>
      </c>
    </row>
    <row r="9" spans="1:3">
      <c r="B9" s="1" t="s">
        <v>241</v>
      </c>
    </row>
    <row r="10" spans="1:3">
      <c r="B10" s="1" t="s">
        <v>242</v>
      </c>
    </row>
    <row r="11" spans="1:3">
      <c r="B11" s="1" t="s">
        <v>243</v>
      </c>
    </row>
    <row r="12" spans="1:3" ht="14.25">
      <c r="B12" s="13"/>
    </row>
    <row r="13" spans="1:3" ht="22.5" customHeight="1">
      <c r="B13" s="15" t="s">
        <v>75</v>
      </c>
      <c r="C13" s="63"/>
    </row>
    <row r="14" spans="1:3" ht="15">
      <c r="B14" s="1" t="s">
        <v>244</v>
      </c>
      <c r="C14" s="15"/>
    </row>
    <row r="15" spans="1:3" s="16" customFormat="1">
      <c r="A15"/>
      <c r="B15" s="1" t="s">
        <v>245</v>
      </c>
      <c r="C15" s="1"/>
    </row>
    <row r="16" spans="1:3" ht="12.75" customHeight="1">
      <c r="B16" s="1" t="s">
        <v>246</v>
      </c>
      <c r="C16" s="1"/>
    </row>
    <row r="17" spans="2:3" ht="13.35" customHeight="1">
      <c r="B17" s="13"/>
      <c r="C17" s="1"/>
    </row>
    <row r="18" spans="2:3" ht="15.6" customHeight="1">
      <c r="B18" s="15" t="s">
        <v>247</v>
      </c>
      <c r="C18" s="1"/>
    </row>
    <row r="19" spans="2:3" ht="13.5" customHeight="1">
      <c r="B19" s="1" t="s">
        <v>249</v>
      </c>
      <c r="C19" s="1"/>
    </row>
    <row r="20" spans="2:3" ht="13.5" customHeight="1">
      <c r="B20" s="1" t="s">
        <v>327</v>
      </c>
      <c r="C20" s="1"/>
    </row>
    <row r="21" spans="2:3">
      <c r="B21" s="1" t="s">
        <v>250</v>
      </c>
    </row>
    <row r="22" spans="2:3" ht="12.75" customHeight="1">
      <c r="B22" s="13" t="s">
        <v>251</v>
      </c>
      <c r="C22" s="15"/>
    </row>
    <row r="23" spans="2:3" ht="12.75" customHeight="1">
      <c r="B23" s="13"/>
      <c r="C23" s="1"/>
    </row>
    <row r="24" spans="2:3" ht="12.75" customHeight="1">
      <c r="B24" s="15" t="s">
        <v>248</v>
      </c>
      <c r="C24" s="1"/>
    </row>
    <row r="25" spans="2:3" ht="14.25" customHeight="1">
      <c r="B25" s="1" t="s">
        <v>252</v>
      </c>
      <c r="C25" s="1"/>
    </row>
    <row r="26" spans="2:3" ht="14.25">
      <c r="B26" s="1" t="s">
        <v>327</v>
      </c>
      <c r="C26" s="13"/>
    </row>
    <row r="27" spans="2:3" ht="12.75" customHeight="1">
      <c r="B27" s="1" t="s">
        <v>322</v>
      </c>
      <c r="C27" s="15"/>
    </row>
    <row r="28" spans="2:3" ht="12.75" customHeight="1">
      <c r="B28" s="13" t="s">
        <v>323</v>
      </c>
      <c r="C28" s="1"/>
    </row>
    <row r="29" spans="2:3" ht="12.75" customHeight="1">
      <c r="B29" s="13"/>
      <c r="C29" s="1"/>
    </row>
    <row r="30" spans="2:3" ht="12.75" customHeight="1">
      <c r="B30" s="15" t="s">
        <v>253</v>
      </c>
      <c r="C30" s="1"/>
    </row>
    <row r="31" spans="2:3" ht="12.75" customHeight="1">
      <c r="B31" s="1" t="s">
        <v>324</v>
      </c>
      <c r="C31" s="1"/>
    </row>
    <row r="32" spans="2:3" ht="12.75" customHeight="1">
      <c r="B32" s="1" t="s">
        <v>325</v>
      </c>
      <c r="C32" s="1"/>
    </row>
    <row r="33" spans="2:3" ht="12.75" customHeight="1">
      <c r="B33" s="1" t="s">
        <v>263</v>
      </c>
      <c r="C33" s="1"/>
    </row>
    <row r="34" spans="2:3" ht="12.75" customHeight="1">
      <c r="B34" s="1" t="s">
        <v>254</v>
      </c>
      <c r="C34" s="1"/>
    </row>
    <row r="35" spans="2:3" ht="13.5" customHeight="1">
      <c r="B35" s="1" t="s">
        <v>255</v>
      </c>
      <c r="C35" s="1"/>
    </row>
    <row r="36" spans="2:3" ht="14.25">
      <c r="B36" s="13"/>
      <c r="C36" s="13"/>
    </row>
    <row r="37" spans="2:3" ht="12.75" customHeight="1">
      <c r="B37" s="15" t="s">
        <v>256</v>
      </c>
      <c r="C37" s="15"/>
    </row>
    <row r="38" spans="2:3" ht="12.75" customHeight="1">
      <c r="B38" s="1" t="s">
        <v>257</v>
      </c>
      <c r="C38" s="1"/>
    </row>
    <row r="39" spans="2:3" ht="12.75" customHeight="1">
      <c r="B39" s="1" t="s">
        <v>326</v>
      </c>
      <c r="C39" s="1"/>
    </row>
    <row r="40" spans="2:3" ht="12.75" customHeight="1">
      <c r="B40" s="1" t="s">
        <v>258</v>
      </c>
      <c r="C40" s="1"/>
    </row>
    <row r="41" spans="2:3" ht="12.75" customHeight="1">
      <c r="B41" s="1" t="s">
        <v>259</v>
      </c>
      <c r="C41" s="1"/>
    </row>
    <row r="42" spans="2:3" ht="12.75" customHeight="1">
      <c r="B42" s="13"/>
      <c r="C42" s="1"/>
    </row>
    <row r="43" spans="2:3" ht="12.75" customHeight="1">
      <c r="B43" s="15" t="s">
        <v>261</v>
      </c>
      <c r="C43" s="1"/>
    </row>
    <row r="44" spans="2:3" ht="12.75" customHeight="1">
      <c r="B44" s="14"/>
      <c r="C44" s="15"/>
    </row>
    <row r="45" spans="2:3" ht="12.75" customHeight="1">
      <c r="B45" s="15" t="s">
        <v>262</v>
      </c>
      <c r="C45" s="1"/>
    </row>
    <row r="46" spans="2:3" ht="14.25">
      <c r="B46" s="14"/>
      <c r="C46" s="13"/>
    </row>
    <row r="47" spans="2:3" ht="12.75" customHeight="1">
      <c r="B47" s="15" t="s">
        <v>76</v>
      </c>
      <c r="C47" s="1"/>
    </row>
    <row r="48" spans="2:3" ht="13.5" customHeight="1">
      <c r="B48" s="1" t="s">
        <v>328</v>
      </c>
      <c r="C48" s="1"/>
    </row>
    <row r="49" spans="2:3" ht="13.5" customHeight="1">
      <c r="B49" s="1" t="s">
        <v>329</v>
      </c>
      <c r="C49" s="14"/>
    </row>
    <row r="50" spans="2:3" ht="13.5" customHeight="1">
      <c r="B50" s="1" t="s">
        <v>330</v>
      </c>
      <c r="C50" s="14"/>
    </row>
    <row r="51" spans="2:3" ht="13.5" customHeight="1">
      <c r="B51" s="16" t="s">
        <v>331</v>
      </c>
      <c r="C51" s="15"/>
    </row>
    <row r="52" spans="2:3" ht="13.5" customHeight="1">
      <c r="B52" s="16" t="s">
        <v>332</v>
      </c>
      <c r="C52" s="15"/>
    </row>
    <row r="53" spans="2:3" ht="13.5" customHeight="1">
      <c r="B53" s="13"/>
      <c r="C53" s="15"/>
    </row>
    <row r="54" spans="2:3" ht="13.5" customHeight="1">
      <c r="B54" s="15" t="s">
        <v>77</v>
      </c>
      <c r="C54" s="1"/>
    </row>
    <row r="55" spans="2:3" ht="13.5" customHeight="1">
      <c r="B55" s="1" t="s">
        <v>333</v>
      </c>
      <c r="C55" s="1"/>
    </row>
    <row r="56" spans="2:3" ht="13.5" customHeight="1">
      <c r="B56" s="1" t="s">
        <v>334</v>
      </c>
      <c r="C56" s="1"/>
    </row>
    <row r="57" spans="2:3" ht="13.5" customHeight="1">
      <c r="B57" s="64" t="s">
        <v>335</v>
      </c>
      <c r="C57" s="1"/>
    </row>
    <row r="58" spans="2:3" ht="13.5" customHeight="1">
      <c r="B58" s="64" t="s">
        <v>336</v>
      </c>
      <c r="C58" s="1"/>
    </row>
    <row r="59" spans="2:3" ht="13.5" customHeight="1">
      <c r="B59" s="1" t="s">
        <v>13</v>
      </c>
      <c r="C59" s="14"/>
    </row>
    <row r="60" spans="2:3" ht="13.5" customHeight="1">
      <c r="C60" s="15"/>
    </row>
    <row r="61" spans="2:3" ht="15.75" customHeight="1">
      <c r="C61" s="1"/>
    </row>
    <row r="62" spans="2:3" ht="15.75" customHeight="1">
      <c r="C62" s="13"/>
    </row>
    <row r="63" spans="2:3" ht="12.75" customHeight="1">
      <c r="C63" s="15"/>
    </row>
    <row r="64" spans="2:3" ht="12.75" customHeight="1">
      <c r="C64" s="1"/>
    </row>
    <row r="65" spans="3:3" ht="12.75" customHeight="1">
      <c r="C65" s="1"/>
    </row>
    <row r="66" spans="3:3" ht="14.25">
      <c r="C66" s="13"/>
    </row>
    <row r="67" spans="3:3" ht="12.75" customHeight="1">
      <c r="C67" s="15"/>
    </row>
    <row r="68" spans="3:3" ht="12.75" customHeight="1">
      <c r="C68" s="1"/>
    </row>
    <row r="69" spans="3:3" ht="12.75" customHeight="1">
      <c r="C69" s="1"/>
    </row>
    <row r="70" spans="3:3" ht="12.75" customHeight="1">
      <c r="C70" s="18"/>
    </row>
    <row r="71" spans="3:3" ht="15" customHeight="1">
      <c r="C71" s="1"/>
    </row>
  </sheetData>
  <phoneticPr fontId="0" type="noConversion"/>
  <printOptions horizontalCentered="1"/>
  <pageMargins left="0.19685039370078741" right="0.19685039370078741" top="0.98425196850393704" bottom="0.59055118110236227" header="0.31496062992125984" footer="0.51181102362204722"/>
  <pageSetup paperSize="9" scale="88" fitToHeight="3" orientation="portrait" horizontalDpi="300" verticalDpi="300" r:id="rId1"/>
  <headerFooter alignWithMargins="0">
    <oddHeader>&amp;L&amp;12ErEx Kurzbeschreibung&amp;R&amp;"Arial,Fett"&amp;12Version 4.1</oddHeader>
    <oddFooter>&amp;L&amp;8&amp;F.&amp;A&amp;C&amp;8Seite &amp;P&amp;  von &amp;N&amp;R&amp;8&amp;D  &amp;T Uhr</oddFooter>
  </headerFooter>
  <colBreaks count="1" manualBreakCount="1">
    <brk id="3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5A117-6FA2-49FF-9873-8A2C3DCF1F88}">
  <sheetPr codeName="Tabelle146">
    <pageSetUpPr fitToPage="1"/>
  </sheetPr>
  <dimension ref="A2:F45"/>
  <sheetViews>
    <sheetView zoomScaleNormal="100" workbookViewId="0">
      <selection activeCell="C21" sqref="C21"/>
    </sheetView>
  </sheetViews>
  <sheetFormatPr baseColWidth="10" defaultRowHeight="12.75"/>
  <cols>
    <col min="1" max="1" width="5.42578125" customWidth="1"/>
    <col min="2" max="2" width="3.42578125" customWidth="1"/>
    <col min="3" max="4" width="10.5703125" customWidth="1"/>
    <col min="5" max="5" width="14.7109375" customWidth="1"/>
    <col min="6" max="6" width="50.28515625" customWidth="1"/>
    <col min="7" max="7" width="20.5703125" customWidth="1"/>
    <col min="8" max="10" width="12.5703125" customWidth="1"/>
  </cols>
  <sheetData>
    <row r="2" spans="1:5" ht="15">
      <c r="A2" s="72"/>
      <c r="E2" s="73" t="s">
        <v>117</v>
      </c>
    </row>
    <row r="3" spans="1:5" ht="15">
      <c r="A3" s="72"/>
      <c r="B3" s="15" t="s">
        <v>548</v>
      </c>
      <c r="E3" s="12" t="s">
        <v>116</v>
      </c>
    </row>
    <row r="4" spans="1:5">
      <c r="A4" s="72"/>
    </row>
    <row r="5" spans="1:5" ht="15" customHeight="1">
      <c r="A5" s="62"/>
      <c r="B5" s="13" t="s">
        <v>549</v>
      </c>
      <c r="C5" s="15"/>
    </row>
    <row r="6" spans="1:5" ht="15" customHeight="1">
      <c r="A6" s="62"/>
      <c r="B6" s="13" t="s">
        <v>124</v>
      </c>
      <c r="C6" s="13"/>
    </row>
    <row r="7" spans="1:5" ht="15" customHeight="1">
      <c r="A7" s="62"/>
      <c r="B7" s="13" t="s">
        <v>118</v>
      </c>
    </row>
    <row r="8" spans="1:5" ht="21" customHeight="1">
      <c r="A8" s="62"/>
      <c r="B8" s="13" t="s">
        <v>125</v>
      </c>
      <c r="C8" s="13"/>
    </row>
    <row r="9" spans="1:5" ht="15" customHeight="1">
      <c r="A9" s="62"/>
      <c r="B9" s="13" t="s">
        <v>126</v>
      </c>
      <c r="C9" s="13"/>
    </row>
    <row r="10" spans="1:5" ht="15" customHeight="1">
      <c r="A10" s="62"/>
      <c r="B10" s="13" t="s">
        <v>127</v>
      </c>
      <c r="C10" s="13"/>
    </row>
    <row r="11" spans="1:5" ht="15" customHeight="1">
      <c r="A11" s="62"/>
      <c r="B11" s="13" t="s">
        <v>550</v>
      </c>
      <c r="C11" s="13"/>
    </row>
    <row r="12" spans="1:5" ht="15" customHeight="1">
      <c r="A12" s="62"/>
      <c r="B12" s="13" t="s">
        <v>551</v>
      </c>
      <c r="C12" s="13"/>
    </row>
    <row r="13" spans="1:5" ht="15" customHeight="1">
      <c r="A13" s="62"/>
      <c r="B13" s="13" t="s">
        <v>552</v>
      </c>
    </row>
    <row r="14" spans="1:5" ht="25.5" customHeight="1">
      <c r="A14" s="62"/>
      <c r="B14" s="13" t="s">
        <v>119</v>
      </c>
      <c r="C14" s="13"/>
    </row>
    <row r="15" spans="1:5" ht="24.75" customHeight="1">
      <c r="A15" s="62"/>
      <c r="B15" s="13" t="s">
        <v>78</v>
      </c>
      <c r="C15" s="13" t="s">
        <v>553</v>
      </c>
    </row>
    <row r="16" spans="1:5" ht="24.75" customHeight="1">
      <c r="A16" s="62"/>
      <c r="B16" s="13" t="s">
        <v>79</v>
      </c>
      <c r="C16" s="13" t="s">
        <v>120</v>
      </c>
    </row>
    <row r="17" spans="2:6" ht="24.75" customHeight="1">
      <c r="B17" s="13" t="s">
        <v>121</v>
      </c>
      <c r="C17" s="74" t="s">
        <v>122</v>
      </c>
      <c r="D17" s="75"/>
      <c r="E17" s="75"/>
      <c r="F17" s="75"/>
    </row>
    <row r="18" spans="2:6" ht="15" customHeight="1">
      <c r="C18" s="13" t="s">
        <v>555</v>
      </c>
    </row>
    <row r="19" spans="2:6" ht="15" customHeight="1">
      <c r="C19" s="13" t="s">
        <v>556</v>
      </c>
      <c r="D19" s="75"/>
      <c r="E19" s="75"/>
      <c r="F19" s="75"/>
    </row>
    <row r="20" spans="2:6" ht="15" customHeight="1">
      <c r="C20" s="13" t="s">
        <v>557</v>
      </c>
      <c r="D20" s="75"/>
      <c r="E20" s="75"/>
      <c r="F20" s="75"/>
    </row>
    <row r="21" spans="2:6" ht="15" customHeight="1">
      <c r="C21" s="75" t="s">
        <v>123</v>
      </c>
      <c r="D21" s="75"/>
      <c r="E21" s="75"/>
      <c r="F21" s="75"/>
    </row>
    <row r="22" spans="2:6" ht="15" customHeight="1">
      <c r="C22" s="75" t="s">
        <v>554</v>
      </c>
      <c r="D22" s="75"/>
      <c r="E22" s="75"/>
      <c r="F22" s="75"/>
    </row>
    <row r="23" spans="2:6" ht="24.75" customHeight="1">
      <c r="B23" s="75" t="s">
        <v>80</v>
      </c>
      <c r="C23" s="13" t="s">
        <v>476</v>
      </c>
      <c r="D23" s="75"/>
      <c r="E23" s="75"/>
      <c r="F23" s="75"/>
    </row>
    <row r="24" spans="2:6" ht="15" customHeight="1">
      <c r="C24" s="13" t="s">
        <v>477</v>
      </c>
      <c r="D24" s="75"/>
      <c r="E24" s="75"/>
      <c r="F24" s="75"/>
    </row>
    <row r="25" spans="2:6" ht="15" customHeight="1">
      <c r="C25" s="13" t="s">
        <v>481</v>
      </c>
      <c r="D25" s="75"/>
      <c r="E25" s="75"/>
      <c r="F25" s="75"/>
    </row>
    <row r="26" spans="2:6" ht="15" customHeight="1">
      <c r="C26" s="13" t="s">
        <v>478</v>
      </c>
      <c r="D26" s="75"/>
      <c r="E26" s="75"/>
      <c r="F26" s="75"/>
    </row>
    <row r="27" spans="2:6" ht="15" customHeight="1">
      <c r="C27" s="13" t="s">
        <v>471</v>
      </c>
      <c r="D27" s="75"/>
      <c r="E27" s="75"/>
      <c r="F27" s="75"/>
    </row>
    <row r="28" spans="2:6" ht="15" customHeight="1">
      <c r="C28" s="13" t="s">
        <v>479</v>
      </c>
      <c r="D28" s="75"/>
      <c r="E28" s="75"/>
      <c r="F28" s="75"/>
    </row>
    <row r="29" spans="2:6" ht="15" customHeight="1">
      <c r="C29" s="13" t="s">
        <v>480</v>
      </c>
      <c r="D29" s="75"/>
      <c r="E29" s="75"/>
      <c r="F29" s="75"/>
    </row>
    <row r="30" spans="2:6" ht="15" customHeight="1">
      <c r="D30" s="75"/>
      <c r="E30" s="75"/>
      <c r="F30" s="75"/>
    </row>
    <row r="31" spans="2:6" ht="15" customHeight="1">
      <c r="C31" s="75"/>
      <c r="D31" s="75"/>
      <c r="E31" s="75"/>
      <c r="F31" s="75"/>
    </row>
    <row r="32" spans="2:6" ht="13.5" customHeight="1">
      <c r="B32" s="13" t="s">
        <v>465</v>
      </c>
      <c r="D32" s="75"/>
      <c r="E32" s="75"/>
      <c r="F32" s="75"/>
    </row>
    <row r="33" spans="2:6" ht="13.5" customHeight="1">
      <c r="B33" s="13" t="s">
        <v>466</v>
      </c>
      <c r="D33" s="75"/>
      <c r="E33" s="75"/>
      <c r="F33" s="75"/>
    </row>
    <row r="34" spans="2:6" ht="13.5" customHeight="1">
      <c r="C34" s="75"/>
      <c r="D34" s="75"/>
      <c r="E34" s="75"/>
      <c r="F34" s="75"/>
    </row>
    <row r="35" spans="2:6" ht="15.75" customHeight="1">
      <c r="C35" s="75"/>
      <c r="D35" s="75"/>
      <c r="E35" s="75"/>
      <c r="F35" s="75"/>
    </row>
    <row r="36" spans="2:6" ht="15.75" customHeight="1"/>
    <row r="37" spans="2:6" ht="12.75" customHeight="1"/>
    <row r="38" spans="2:6" ht="12.75" customHeight="1"/>
    <row r="39" spans="2:6" ht="12.75" customHeight="1"/>
    <row r="41" spans="2:6" ht="12.75" customHeight="1"/>
    <row r="42" spans="2:6" ht="12.75" customHeight="1"/>
    <row r="43" spans="2:6" ht="12.75" customHeight="1"/>
    <row r="44" spans="2:6" ht="12.75" customHeight="1"/>
    <row r="45" spans="2:6" ht="15" customHeight="1"/>
  </sheetData>
  <phoneticPr fontId="0" type="noConversion"/>
  <printOptions horizontalCentered="1"/>
  <pageMargins left="0.19685039370078741" right="0.19685039370078741" top="0.98425196850393704" bottom="0.59055118110236227" header="0.31496062992125984" footer="0.51181102362204722"/>
  <pageSetup paperSize="9" fitToHeight="3" orientation="portrait" horizontalDpi="300" verticalDpi="300" r:id="rId1"/>
  <headerFooter alignWithMargins="0">
    <oddHeader>&amp;L&amp;12ErEx Kurzbeschreibung&amp;R&amp;12Version 7.x</oddHeader>
    <oddFooter>&amp;L&amp;8&amp;F.&amp;A&amp;C&amp;8Seite &amp;P&amp;  von &amp;N&amp;R&amp;8&amp;D  &amp;T Uhr</oddFooter>
  </headerFooter>
  <colBreaks count="1" manualBreakCount="1">
    <brk id="3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23</vt:i4>
      </vt:variant>
    </vt:vector>
  </HeadingPairs>
  <TitlesOfParts>
    <vt:vector size="39" baseType="lpstr">
      <vt:lpstr>KontenplanVorl</vt:lpstr>
      <vt:lpstr>ArProtVorl</vt:lpstr>
      <vt:lpstr>KntoVorlVorl</vt:lpstr>
      <vt:lpstr>PosAnkK</vt:lpstr>
      <vt:lpstr>SaLiVorlVorl</vt:lpstr>
      <vt:lpstr>SaLi2VorlVorl</vt:lpstr>
      <vt:lpstr>PosAnkS</vt:lpstr>
      <vt:lpstr>BeriVorlVorl</vt:lpstr>
      <vt:lpstr>PosAnkB</vt:lpstr>
      <vt:lpstr>FABestVorl</vt:lpstr>
      <vt:lpstr>PosAnkF</vt:lpstr>
      <vt:lpstr>Farbpalette</vt:lpstr>
      <vt:lpstr>ReadMe</vt:lpstr>
      <vt:lpstr>ShortCuts</vt:lpstr>
      <vt:lpstr>Kontoarten</vt:lpstr>
      <vt:lpstr>JahresWechsel</vt:lpstr>
      <vt:lpstr>ArProtVorl!Druckbereich</vt:lpstr>
      <vt:lpstr>BeriVorlVorl!Druckbereich</vt:lpstr>
      <vt:lpstr>FABestVorl!Druckbereich</vt:lpstr>
      <vt:lpstr>Farbpalette!Druckbereich</vt:lpstr>
      <vt:lpstr>JahresWechsel!Druckbereich</vt:lpstr>
      <vt:lpstr>KntoVorlVorl!Druckbereich</vt:lpstr>
      <vt:lpstr>KontenplanVorl!Druckbereich</vt:lpstr>
      <vt:lpstr>Kontoarten!Druckbereich</vt:lpstr>
      <vt:lpstr>PosAnkB!Druckbereich</vt:lpstr>
      <vt:lpstr>PosAnkF!Druckbereich</vt:lpstr>
      <vt:lpstr>PosAnkK!Druckbereich</vt:lpstr>
      <vt:lpstr>PosAnkS!Druckbereich</vt:lpstr>
      <vt:lpstr>ReadMe!Druckbereich</vt:lpstr>
      <vt:lpstr>SaLi2VorlVorl!Druckbereich</vt:lpstr>
      <vt:lpstr>SaLiVorlVorl!Druckbereich</vt:lpstr>
      <vt:lpstr>ShortCuts!Druckbereich</vt:lpstr>
      <vt:lpstr>ArProtVorl!Drucktitel</vt:lpstr>
      <vt:lpstr>BeriVorlVorl!Drucktitel</vt:lpstr>
      <vt:lpstr>Farbpalette!Drucktitel</vt:lpstr>
      <vt:lpstr>KntoVorlVorl!Drucktitel</vt:lpstr>
      <vt:lpstr>KontenplanVorl!Drucktitel</vt:lpstr>
      <vt:lpstr>SaLi2VorlVorl!Drucktitel</vt:lpstr>
      <vt:lpstr>SaLiVorlVorl!Drucktitel</vt:lpstr>
    </vt:vector>
  </TitlesOfParts>
  <Company>Schwemberger-EDV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Makro-Steuer-Mappe für doppelte Buchführung</dc:title>
  <dc:subject>Fehler Jahresumstellung behoben Januar 26</dc:subject>
  <dc:creator>Michael Schwemberger</dc:creator>
  <cp:keywords>Makros, getrennte Sheets</cp:keywords>
  <dc:description>Mit Blatt FAVorlage</dc:description>
  <cp:lastModifiedBy>Michael Schwemberger</cp:lastModifiedBy>
  <cp:revision>2</cp:revision>
  <cp:lastPrinted>2024-01-16T19:02:05Z</cp:lastPrinted>
  <dcterms:created xsi:type="dcterms:W3CDTF">2000-02-25T11:43:29Z</dcterms:created>
  <dcterms:modified xsi:type="dcterms:W3CDTF">2026-01-14T19:54:24Z</dcterms:modified>
</cp:coreProperties>
</file>